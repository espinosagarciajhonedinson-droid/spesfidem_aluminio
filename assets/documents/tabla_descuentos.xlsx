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rcel\Desktop\"/>
    </mc:Choice>
  </mc:AlternateContent>
  <bookViews>
    <workbookView xWindow="0" yWindow="0" windowWidth="16320" windowHeight="6228" firstSheet="16" activeTab="17"/>
  </bookViews>
  <sheets>
    <sheet name="5020 -2 HOJAS" sheetId="1" r:id="rId1"/>
    <sheet name="5020 - 3 HOJAS" sheetId="2" r:id="rId2"/>
    <sheet name="5020 - 4 HOJAS" sheetId="3" r:id="rId3"/>
    <sheet name="744 - 2 HOJAS" sheetId="4" r:id="rId4"/>
    <sheet name="744 3 HOJAS 1 DE PARCHE" sheetId="5" r:id="rId5"/>
    <sheet name=" 744 3 HOJAS  (diseño cliente)" sheetId="6" r:id="rId6"/>
    <sheet name="744 3 HOJAS xOx ( x25%, O50%, x" sheetId="7" r:id="rId7"/>
    <sheet name="744 - 4 HOJAS" sheetId="8" r:id="rId8"/>
    <sheet name="8025 de  2 hojas" sheetId="9" r:id="rId9"/>
    <sheet name="8025 de 3 hojas OXO" sheetId="10" r:id="rId10"/>
    <sheet name=" 8025  3 hojas oXo" sheetId="11" r:id="rId11"/>
    <sheet name="8025 4 hojas" sheetId="12" r:id="rId12"/>
    <sheet name=" 8025 3 hojas diseño cliente OX" sheetId="13" r:id="rId13"/>
    <sheet name="8025 de 3 hojas  (triple carril" sheetId="14" r:id="rId14"/>
    <sheet name="P.B. TUBLAR DE 1X1.2 -PISA" sheetId="15" r:id="rId15"/>
    <sheet name="P.B DE 2 HOJAS DE 1X1.2 PISA" sheetId="16" r:id="rId16"/>
    <sheet name="P.B TUBULAR 3X1-1.2 PISA" sheetId="17" r:id="rId17"/>
    <sheet name="P.B TUBULAR 3X1-1.2 2 HOJAS" sheetId="18" r:id="rId18"/>
    <sheet name="FIJO PRO-3831" sheetId="19" r:id="rId19"/>
    <sheet name="FIJO PRO 3831  1 BASCULANTE" sheetId="20" r:id="rId20"/>
    <sheet name="FIJO PRO 3831 2 BASCULANTES" sheetId="21" r:id="rId21"/>
    <sheet name="7038  DE 2 HOJAS" sheetId="22" r:id="rId22"/>
    <sheet name="7038 DE 3 HOJAS" sheetId="23" r:id="rId23"/>
    <sheet name="7038-4 HOJAS" sheetId="24" r:id="rId24"/>
    <sheet name="7038 EMPOTRAR DE 2 HOJAS" sheetId="25" r:id="rId25"/>
    <sheet name="7038 DE EMPOTRAR 3 HOJAS 1 PARC" sheetId="26" r:id="rId26"/>
    <sheet name=" 7038 EMPOTRAR -4 HOJAS" sheetId="27" r:id="rId27"/>
    <sheet name="DIVICION ACRILICO BAÑO" sheetId="28" r:id="rId28"/>
    <sheet name="PUERTA B. BOTAGUA Y 744" sheetId="29" r:id="rId29"/>
    <sheet name="ALACENA " sheetId="30" r:id="rId30"/>
    <sheet name="COLOSAL 2.6 2 HOJAS" sheetId="31" r:id="rId31"/>
    <sheet name=" COLOSAL 2.6 3 HOJAS IGUALES" sheetId="32" r:id="rId32"/>
    <sheet name="COLOSAL 2.6 4 HOJAS " sheetId="33" r:id="rId33"/>
    <sheet name=" COLOSAL 3.45 2 HOJAS" sheetId="34" r:id="rId34"/>
    <sheet name="ASTRAL 1.7 DOS HOJAS" sheetId="35" r:id="rId35"/>
    <sheet name="ZINU DISEÑO X" sheetId="36" r:id="rId36"/>
    <sheet name="ZINU DISEÑO O (FIJO)" sheetId="37" r:id="rId37"/>
    <sheet name=" ZINU DISEÑO O-X" sheetId="38" r:id="rId38"/>
    <sheet name="ZINU DISEÑO X-O-X" sheetId="39" r:id="rId39"/>
    <sheet name="PUERTA CORREDIZA KALIMA OX" sheetId="40" r:id="rId40"/>
    <sheet name="PUERTA CORREDIZA KIMBAYA OX" sheetId="41" r:id="rId41"/>
    <sheet name="PUERTA BATIENTE KONCEPT SERIE 4" sheetId="42" r:id="rId42"/>
    <sheet name=" PUERTA BATIENTE KONCEPT DISEÑO" sheetId="43" r:id="rId43"/>
    <sheet name="REFERENCIAS DE PERFILES" sheetId="44" r:id="rId4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7" i="4" l="1"/>
  <c r="E39" i="4"/>
  <c r="H80" i="44" l="1"/>
  <c r="H79" i="44"/>
  <c r="H78" i="44"/>
  <c r="H77" i="44"/>
  <c r="H76" i="44"/>
  <c r="H75" i="44"/>
  <c r="H74" i="44"/>
  <c r="H73" i="44"/>
  <c r="C73" i="44"/>
  <c r="C72" i="44"/>
  <c r="C71" i="44"/>
  <c r="C70" i="44"/>
  <c r="C69" i="44"/>
  <c r="H68" i="44"/>
  <c r="C68" i="44"/>
  <c r="H67" i="44"/>
  <c r="C67" i="44"/>
  <c r="H66" i="44"/>
  <c r="C66" i="44"/>
  <c r="H65" i="44"/>
  <c r="H64" i="44"/>
  <c r="H63" i="44"/>
  <c r="H62" i="44"/>
  <c r="H61" i="44"/>
  <c r="H56" i="44"/>
  <c r="H55" i="44"/>
  <c r="C55" i="44"/>
  <c r="H54" i="44"/>
  <c r="C54" i="44"/>
  <c r="H53" i="44"/>
  <c r="C53" i="44"/>
  <c r="H52" i="44"/>
  <c r="C52" i="44"/>
  <c r="H51" i="44"/>
  <c r="C51" i="44"/>
  <c r="H50" i="44"/>
  <c r="C50" i="44"/>
  <c r="H49" i="44"/>
  <c r="C49" i="44"/>
  <c r="H48" i="44"/>
  <c r="C48" i="44"/>
  <c r="H47" i="44"/>
  <c r="C47" i="44"/>
  <c r="H46" i="44"/>
  <c r="C46" i="44"/>
  <c r="H45" i="44"/>
  <c r="C45" i="44"/>
  <c r="H44" i="44"/>
  <c r="C44" i="44"/>
  <c r="H43" i="44"/>
  <c r="C43" i="44"/>
  <c r="H42" i="44"/>
  <c r="C42" i="44"/>
  <c r="H41" i="44"/>
  <c r="C41" i="44"/>
  <c r="H40" i="44"/>
  <c r="C40" i="44"/>
  <c r="H39" i="44"/>
  <c r="C39" i="44"/>
  <c r="H38" i="44"/>
  <c r="H37" i="44"/>
  <c r="H32" i="44"/>
  <c r="H31" i="44"/>
  <c r="C31" i="44"/>
  <c r="H30" i="44"/>
  <c r="C30" i="44"/>
  <c r="H29" i="44"/>
  <c r="C29" i="44"/>
  <c r="H28" i="44"/>
  <c r="C28" i="44"/>
  <c r="H27" i="44"/>
  <c r="C27" i="44"/>
  <c r="C26" i="44"/>
  <c r="H25" i="44"/>
  <c r="C21" i="44"/>
  <c r="C20" i="44"/>
  <c r="C19" i="44"/>
  <c r="C18" i="44"/>
  <c r="C17" i="44"/>
  <c r="C16" i="44"/>
  <c r="C15" i="44"/>
  <c r="C14" i="44"/>
  <c r="H9" i="44"/>
  <c r="C9" i="44"/>
  <c r="H8" i="44"/>
  <c r="C8" i="44"/>
  <c r="H7" i="44"/>
  <c r="C7" i="44"/>
  <c r="H6" i="44"/>
  <c r="C6" i="44"/>
  <c r="H5" i="44"/>
  <c r="C5" i="44"/>
  <c r="H4" i="44"/>
  <c r="C4" i="44"/>
  <c r="H3" i="44"/>
  <c r="C3" i="44"/>
  <c r="D33" i="43"/>
  <c r="F31" i="43"/>
  <c r="D31" i="43"/>
  <c r="F29" i="43"/>
  <c r="D29" i="43"/>
  <c r="F27" i="43"/>
  <c r="D27" i="43"/>
  <c r="F24" i="43"/>
  <c r="D24" i="43"/>
  <c r="D22" i="43"/>
  <c r="F21" i="43"/>
  <c r="D21" i="43"/>
  <c r="F16" i="43"/>
  <c r="D16" i="43"/>
  <c r="F15" i="43"/>
  <c r="D15" i="43"/>
  <c r="F13" i="43"/>
  <c r="D13" i="43"/>
  <c r="F11" i="43"/>
  <c r="D11" i="43"/>
  <c r="D21" i="42"/>
  <c r="F20" i="42"/>
  <c r="D20" i="42"/>
  <c r="F15" i="42"/>
  <c r="D15" i="42"/>
  <c r="F14" i="42"/>
  <c r="D14" i="42"/>
  <c r="F12" i="42"/>
  <c r="D12" i="42"/>
  <c r="F10" i="42"/>
  <c r="D10" i="42"/>
  <c r="G36" i="41"/>
  <c r="G35" i="41"/>
  <c r="G34" i="41"/>
  <c r="G33" i="41"/>
  <c r="G32" i="41"/>
  <c r="G31" i="41"/>
  <c r="G30" i="41"/>
  <c r="G29" i="41"/>
  <c r="G28" i="41"/>
  <c r="G25" i="41"/>
  <c r="E25" i="41"/>
  <c r="D25" i="41"/>
  <c r="G23" i="41"/>
  <c r="E23" i="41"/>
  <c r="D23" i="41"/>
  <c r="G27" i="41" s="1"/>
  <c r="G21" i="41"/>
  <c r="D21" i="41"/>
  <c r="G20" i="41"/>
  <c r="D20" i="41"/>
  <c r="G19" i="41"/>
  <c r="D19" i="41"/>
  <c r="G18" i="41"/>
  <c r="D18" i="41"/>
  <c r="G17" i="41"/>
  <c r="D17" i="41"/>
  <c r="G16" i="41"/>
  <c r="D16" i="41"/>
  <c r="G15" i="41"/>
  <c r="D15" i="41"/>
  <c r="G14" i="41"/>
  <c r="D14" i="41"/>
  <c r="G13" i="41"/>
  <c r="D13" i="41"/>
  <c r="G11" i="41"/>
  <c r="D11" i="41"/>
  <c r="G10" i="41"/>
  <c r="D10" i="41"/>
  <c r="G36" i="40"/>
  <c r="G35" i="40"/>
  <c r="G34" i="40"/>
  <c r="G33" i="40"/>
  <c r="G32" i="40"/>
  <c r="G31" i="40"/>
  <c r="G30" i="40"/>
  <c r="G29" i="40"/>
  <c r="G28" i="40"/>
  <c r="G25" i="40"/>
  <c r="E25" i="40"/>
  <c r="D25" i="40"/>
  <c r="G23" i="40"/>
  <c r="E23" i="40"/>
  <c r="D23" i="40"/>
  <c r="G27" i="40" s="1"/>
  <c r="G21" i="40"/>
  <c r="D21" i="40"/>
  <c r="G20" i="40"/>
  <c r="D20" i="40"/>
  <c r="G19" i="40"/>
  <c r="D19" i="40"/>
  <c r="G18" i="40"/>
  <c r="D18" i="40"/>
  <c r="G17" i="40"/>
  <c r="D17" i="40"/>
  <c r="G16" i="40"/>
  <c r="D16" i="40"/>
  <c r="G15" i="40"/>
  <c r="D15" i="40"/>
  <c r="G14" i="40"/>
  <c r="D14" i="40"/>
  <c r="G13" i="40"/>
  <c r="D13" i="40"/>
  <c r="G11" i="40"/>
  <c r="D11" i="40"/>
  <c r="G10" i="40"/>
  <c r="D10" i="40"/>
  <c r="F32" i="39"/>
  <c r="F31" i="39"/>
  <c r="F30" i="39"/>
  <c r="F29" i="39"/>
  <c r="F28" i="39"/>
  <c r="F27" i="39"/>
  <c r="F26" i="39"/>
  <c r="F25" i="39"/>
  <c r="D25" i="39"/>
  <c r="C25" i="39"/>
  <c r="F24" i="39"/>
  <c r="D24" i="39"/>
  <c r="C24" i="39"/>
  <c r="F22" i="39"/>
  <c r="D22" i="39"/>
  <c r="F21" i="39"/>
  <c r="F20" i="39"/>
  <c r="D20" i="39"/>
  <c r="F19" i="39"/>
  <c r="D19" i="39"/>
  <c r="F18" i="39"/>
  <c r="D18" i="39"/>
  <c r="F17" i="39"/>
  <c r="D17" i="39"/>
  <c r="D21" i="39" s="1"/>
  <c r="F15" i="39"/>
  <c r="D15" i="39"/>
  <c r="F13" i="39"/>
  <c r="D13" i="39"/>
  <c r="F11" i="39"/>
  <c r="D11" i="39"/>
  <c r="F32" i="38"/>
  <c r="F31" i="38"/>
  <c r="F30" i="38"/>
  <c r="F29" i="38"/>
  <c r="F28" i="38"/>
  <c r="F27" i="38"/>
  <c r="F26" i="38"/>
  <c r="F25" i="38"/>
  <c r="D25" i="38"/>
  <c r="C25" i="38"/>
  <c r="F24" i="38"/>
  <c r="D24" i="38"/>
  <c r="C24" i="38"/>
  <c r="D22" i="38"/>
  <c r="F21" i="38"/>
  <c r="D21" i="38"/>
  <c r="F20" i="38"/>
  <c r="D20" i="38"/>
  <c r="F19" i="38"/>
  <c r="D19" i="38"/>
  <c r="F18" i="38"/>
  <c r="D18" i="38"/>
  <c r="F17" i="38"/>
  <c r="D17" i="38"/>
  <c r="F15" i="38"/>
  <c r="D15" i="38"/>
  <c r="F13" i="38"/>
  <c r="D13" i="38"/>
  <c r="F11" i="38"/>
  <c r="D11" i="38"/>
  <c r="F25" i="37"/>
  <c r="F24" i="37"/>
  <c r="F23" i="37"/>
  <c r="D22" i="37"/>
  <c r="C22" i="37"/>
  <c r="F20" i="37"/>
  <c r="D20" i="37"/>
  <c r="F19" i="37"/>
  <c r="D19" i="37"/>
  <c r="F16" i="37"/>
  <c r="F15" i="37"/>
  <c r="F12" i="37"/>
  <c r="D12" i="37"/>
  <c r="F10" i="37"/>
  <c r="D10" i="37"/>
  <c r="F30" i="36"/>
  <c r="F29" i="36"/>
  <c r="F28" i="36"/>
  <c r="F27" i="36"/>
  <c r="F26" i="36"/>
  <c r="F25" i="36"/>
  <c r="F24" i="36"/>
  <c r="F23" i="36"/>
  <c r="D23" i="36"/>
  <c r="C23" i="36"/>
  <c r="F20" i="36"/>
  <c r="D20" i="36"/>
  <c r="F19" i="36"/>
  <c r="D19" i="36"/>
  <c r="F16" i="36"/>
  <c r="D16" i="36"/>
  <c r="F15" i="36"/>
  <c r="D15" i="36"/>
  <c r="F12" i="36"/>
  <c r="D12" i="36"/>
  <c r="F10" i="36"/>
  <c r="D10" i="36"/>
  <c r="G33" i="35"/>
  <c r="G32" i="35"/>
  <c r="G31" i="35"/>
  <c r="G30" i="35"/>
  <c r="G29" i="35"/>
  <c r="G28" i="35"/>
  <c r="G27" i="35"/>
  <c r="G26" i="35"/>
  <c r="G25" i="35"/>
  <c r="G23" i="35"/>
  <c r="E23" i="35"/>
  <c r="D23" i="35"/>
  <c r="G21" i="35"/>
  <c r="E21" i="35"/>
  <c r="D21" i="35"/>
  <c r="G19" i="35"/>
  <c r="D19" i="35"/>
  <c r="G18" i="35"/>
  <c r="D18" i="35"/>
  <c r="G17" i="35"/>
  <c r="D17" i="35"/>
  <c r="G16" i="35"/>
  <c r="D16" i="35"/>
  <c r="G15" i="35"/>
  <c r="D15" i="35"/>
  <c r="G14" i="35"/>
  <c r="D14" i="35"/>
  <c r="G12" i="35"/>
  <c r="D12" i="35"/>
  <c r="G11" i="35"/>
  <c r="D11" i="35"/>
  <c r="G10" i="35"/>
  <c r="D10" i="35"/>
  <c r="G31" i="34"/>
  <c r="G30" i="34"/>
  <c r="G29" i="34"/>
  <c r="G28" i="34"/>
  <c r="G27" i="34"/>
  <c r="G26" i="34"/>
  <c r="G25" i="34"/>
  <c r="G24" i="34"/>
  <c r="G21" i="34"/>
  <c r="E21" i="34"/>
  <c r="D21" i="34"/>
  <c r="G23" i="34" s="1"/>
  <c r="G17" i="34"/>
  <c r="D17" i="34"/>
  <c r="G16" i="34"/>
  <c r="D16" i="34"/>
  <c r="G13" i="34"/>
  <c r="D13" i="34"/>
  <c r="G12" i="34"/>
  <c r="D12" i="34"/>
  <c r="G10" i="34"/>
  <c r="D10" i="34"/>
  <c r="G33" i="33"/>
  <c r="G32" i="33"/>
  <c r="G31" i="33"/>
  <c r="G30" i="33"/>
  <c r="G28" i="33"/>
  <c r="G27" i="33"/>
  <c r="G26" i="33"/>
  <c r="G22" i="33"/>
  <c r="E22" i="33"/>
  <c r="G25" i="33" s="1"/>
  <c r="D22" i="33"/>
  <c r="G20" i="33"/>
  <c r="D20" i="33"/>
  <c r="G19" i="33"/>
  <c r="D19" i="33"/>
  <c r="G17" i="33"/>
  <c r="D17" i="33"/>
  <c r="G16" i="33"/>
  <c r="D16" i="33"/>
  <c r="G15" i="33"/>
  <c r="D15" i="33"/>
  <c r="G14" i="33"/>
  <c r="D14" i="33"/>
  <c r="G13" i="33"/>
  <c r="D13" i="33"/>
  <c r="G12" i="33"/>
  <c r="D12" i="33"/>
  <c r="G11" i="33"/>
  <c r="D11" i="33"/>
  <c r="G10" i="33"/>
  <c r="D10" i="33"/>
  <c r="G33" i="32"/>
  <c r="G32" i="32"/>
  <c r="G31" i="32"/>
  <c r="G30" i="32"/>
  <c r="G29" i="32"/>
  <c r="G28" i="32"/>
  <c r="G27" i="32"/>
  <c r="G26" i="32"/>
  <c r="G24" i="32"/>
  <c r="E24" i="32"/>
  <c r="D24" i="32"/>
  <c r="G22" i="32"/>
  <c r="E22" i="32"/>
  <c r="D22" i="32"/>
  <c r="G25" i="32" s="1"/>
  <c r="G20" i="32"/>
  <c r="D20" i="32"/>
  <c r="G19" i="32"/>
  <c r="D19" i="32"/>
  <c r="G18" i="32"/>
  <c r="D18" i="32"/>
  <c r="G17" i="32"/>
  <c r="D17" i="32"/>
  <c r="G16" i="32"/>
  <c r="D16" i="32"/>
  <c r="G15" i="32"/>
  <c r="G14" i="32"/>
  <c r="D14" i="32"/>
  <c r="G13" i="32"/>
  <c r="D13" i="32"/>
  <c r="G12" i="32"/>
  <c r="D12" i="32"/>
  <c r="G11" i="32"/>
  <c r="D11" i="32"/>
  <c r="G10" i="32"/>
  <c r="D10" i="32"/>
  <c r="G31" i="31"/>
  <c r="G30" i="31"/>
  <c r="G29" i="31"/>
  <c r="G28" i="31"/>
  <c r="G27" i="31"/>
  <c r="G26" i="31"/>
  <c r="G25" i="31"/>
  <c r="G24" i="31"/>
  <c r="G21" i="31"/>
  <c r="E21" i="31"/>
  <c r="G23" i="31" s="1"/>
  <c r="D21" i="31"/>
  <c r="G19" i="31"/>
  <c r="D19" i="31"/>
  <c r="G18" i="31"/>
  <c r="D18" i="31"/>
  <c r="G17" i="31"/>
  <c r="D17" i="31"/>
  <c r="G16" i="31"/>
  <c r="D16" i="31"/>
  <c r="G15" i="31"/>
  <c r="D15" i="31"/>
  <c r="G14" i="31"/>
  <c r="D14" i="31"/>
  <c r="G13" i="31"/>
  <c r="D13" i="31"/>
  <c r="G12" i="31"/>
  <c r="D12" i="31"/>
  <c r="G11" i="31"/>
  <c r="D11" i="31"/>
  <c r="G10" i="31"/>
  <c r="D10" i="31"/>
  <c r="B38" i="30"/>
  <c r="D33" i="30"/>
  <c r="E15" i="30"/>
  <c r="D12" i="30"/>
  <c r="D11" i="30"/>
  <c r="D15" i="30" s="1"/>
  <c r="D10" i="30"/>
  <c r="D9" i="30"/>
  <c r="D8" i="30"/>
  <c r="C42" i="29"/>
  <c r="E34" i="29"/>
  <c r="D14" i="29"/>
  <c r="F15" i="29" s="1"/>
  <c r="D12" i="29"/>
  <c r="E14" i="29" s="1"/>
  <c r="D11" i="29"/>
  <c r="D10" i="29"/>
  <c r="D9" i="29"/>
  <c r="B42" i="28"/>
  <c r="E37" i="28"/>
  <c r="D21" i="28"/>
  <c r="D14" i="28"/>
  <c r="E21" i="28" s="1"/>
  <c r="D13" i="28"/>
  <c r="D12" i="28"/>
  <c r="D20" i="28" s="1"/>
  <c r="D11" i="28"/>
  <c r="D10" i="28"/>
  <c r="D9" i="28"/>
  <c r="G31" i="27"/>
  <c r="G30" i="27"/>
  <c r="G29" i="27"/>
  <c r="G28" i="27"/>
  <c r="G27" i="27"/>
  <c r="G26" i="27"/>
  <c r="G25" i="27"/>
  <c r="G24" i="27"/>
  <c r="G23" i="27"/>
  <c r="G21" i="27"/>
  <c r="D21" i="27"/>
  <c r="G20" i="27"/>
  <c r="E20" i="27"/>
  <c r="G17" i="27"/>
  <c r="D17" i="27"/>
  <c r="G16" i="27"/>
  <c r="D16" i="27"/>
  <c r="E21" i="27" s="1"/>
  <c r="G15" i="27"/>
  <c r="D15" i="27"/>
  <c r="G14" i="27"/>
  <c r="D14" i="27"/>
  <c r="G13" i="27"/>
  <c r="D13" i="27"/>
  <c r="G12" i="27"/>
  <c r="D12" i="27"/>
  <c r="D20" i="27" s="1"/>
  <c r="G22" i="27" s="1"/>
  <c r="G11" i="27"/>
  <c r="D11" i="27"/>
  <c r="G10" i="27"/>
  <c r="D10" i="27"/>
  <c r="G9" i="27"/>
  <c r="D9" i="27"/>
  <c r="G35" i="26"/>
  <c r="G34" i="26"/>
  <c r="G33" i="26"/>
  <c r="G32" i="26"/>
  <c r="G31" i="26"/>
  <c r="G30" i="26"/>
  <c r="G29" i="26"/>
  <c r="G28" i="26"/>
  <c r="G27" i="26"/>
  <c r="G25" i="26"/>
  <c r="E25" i="26"/>
  <c r="D25" i="26"/>
  <c r="G24" i="26"/>
  <c r="D24" i="26"/>
  <c r="G23" i="26"/>
  <c r="G19" i="26"/>
  <c r="D19" i="26"/>
  <c r="G18" i="26"/>
  <c r="D18" i="26"/>
  <c r="E24" i="26" s="1"/>
  <c r="G17" i="26"/>
  <c r="D17" i="26"/>
  <c r="G16" i="26"/>
  <c r="D16" i="26"/>
  <c r="G15" i="26"/>
  <c r="D15" i="26"/>
  <c r="G14" i="26"/>
  <c r="D14" i="26"/>
  <c r="E23" i="26" s="1"/>
  <c r="G13" i="26"/>
  <c r="D13" i="26"/>
  <c r="G12" i="26"/>
  <c r="D12" i="26"/>
  <c r="D23" i="26" s="1"/>
  <c r="G26" i="26" s="1"/>
  <c r="G11" i="26"/>
  <c r="D11" i="26"/>
  <c r="G10" i="26"/>
  <c r="D10" i="26"/>
  <c r="G9" i="26"/>
  <c r="D9" i="26"/>
  <c r="G30" i="25"/>
  <c r="G29" i="25"/>
  <c r="G28" i="25"/>
  <c r="G27" i="25"/>
  <c r="G26" i="25"/>
  <c r="G25" i="25"/>
  <c r="G24" i="25"/>
  <c r="G23" i="25"/>
  <c r="G22" i="25"/>
  <c r="G20" i="25"/>
  <c r="E20" i="25"/>
  <c r="G19" i="25"/>
  <c r="E19" i="25"/>
  <c r="D19" i="25"/>
  <c r="G21" i="25" s="1"/>
  <c r="D16" i="25"/>
  <c r="G15" i="25"/>
  <c r="D15" i="25"/>
  <c r="G14" i="25"/>
  <c r="D14" i="25"/>
  <c r="G13" i="25"/>
  <c r="D13" i="25"/>
  <c r="G12" i="25"/>
  <c r="D12" i="25"/>
  <c r="D20" i="25" s="1"/>
  <c r="G11" i="25"/>
  <c r="D11" i="25"/>
  <c r="G10" i="25"/>
  <c r="D10" i="25"/>
  <c r="G9" i="25"/>
  <c r="D9" i="25"/>
  <c r="B45" i="24"/>
  <c r="G38" i="24"/>
  <c r="E17" i="24"/>
  <c r="D13" i="24"/>
  <c r="D12" i="24"/>
  <c r="D11" i="24"/>
  <c r="D14" i="24" s="1"/>
  <c r="D10" i="24"/>
  <c r="D9" i="24"/>
  <c r="D8" i="24"/>
  <c r="C50" i="23"/>
  <c r="H43" i="23"/>
  <c r="D24" i="23"/>
  <c r="D23" i="23"/>
  <c r="D22" i="23"/>
  <c r="D17" i="23"/>
  <c r="E23" i="23" s="1"/>
  <c r="D16" i="23"/>
  <c r="D15" i="23"/>
  <c r="D13" i="23"/>
  <c r="D14" i="23" s="1"/>
  <c r="D19" i="23" s="1"/>
  <c r="D12" i="23"/>
  <c r="D11" i="23"/>
  <c r="D10" i="23"/>
  <c r="D9" i="23"/>
  <c r="D8" i="23"/>
  <c r="C41" i="22"/>
  <c r="E36" i="22"/>
  <c r="E16" i="22"/>
  <c r="D13" i="22"/>
  <c r="D12" i="22"/>
  <c r="D11" i="22"/>
  <c r="D16" i="22" s="1"/>
  <c r="G17" i="22" s="1"/>
  <c r="D10" i="22"/>
  <c r="D9" i="22"/>
  <c r="D8" i="22"/>
  <c r="B48" i="21"/>
  <c r="G41" i="21"/>
  <c r="F24" i="21"/>
  <c r="D24" i="21"/>
  <c r="C24" i="21"/>
  <c r="F23" i="21"/>
  <c r="C23" i="21"/>
  <c r="F21" i="21"/>
  <c r="F20" i="21"/>
  <c r="D20" i="21"/>
  <c r="F19" i="21"/>
  <c r="D19" i="21"/>
  <c r="F18" i="21"/>
  <c r="D18" i="21"/>
  <c r="D23" i="21" s="1"/>
  <c r="F17" i="21"/>
  <c r="D17" i="21"/>
  <c r="F16" i="21"/>
  <c r="D16" i="21"/>
  <c r="D21" i="21" s="1"/>
  <c r="F15" i="21"/>
  <c r="D14" i="21"/>
  <c r="D13" i="21"/>
  <c r="D12" i="21"/>
  <c r="D11" i="21"/>
  <c r="B46" i="20"/>
  <c r="E39" i="20"/>
  <c r="C23" i="20"/>
  <c r="C22" i="20"/>
  <c r="D19" i="20"/>
  <c r="D18" i="20"/>
  <c r="D17" i="20"/>
  <c r="D22" i="20" s="1"/>
  <c r="D16" i="20"/>
  <c r="D23" i="20" s="1"/>
  <c r="D15" i="20"/>
  <c r="D20" i="20" s="1"/>
  <c r="D13" i="20"/>
  <c r="D12" i="20"/>
  <c r="D11" i="20"/>
  <c r="D10" i="20"/>
  <c r="B36" i="19"/>
  <c r="E29" i="19"/>
  <c r="E14" i="19"/>
  <c r="D14" i="19"/>
  <c r="F15" i="19" s="1"/>
  <c r="D12" i="19"/>
  <c r="D10" i="19"/>
  <c r="D11" i="19" s="1"/>
  <c r="D9" i="19"/>
  <c r="B48" i="18"/>
  <c r="E40" i="18"/>
  <c r="C22" i="18"/>
  <c r="F23" i="18" s="1"/>
  <c r="D19" i="18"/>
  <c r="D18" i="18"/>
  <c r="D12" i="18"/>
  <c r="D21" i="18" s="1"/>
  <c r="D22" i="18" s="1"/>
  <c r="D11" i="18"/>
  <c r="D10" i="18"/>
  <c r="D9" i="18"/>
  <c r="C21" i="18" s="1"/>
  <c r="B49" i="17"/>
  <c r="C41" i="17"/>
  <c r="C22" i="17"/>
  <c r="D21" i="17"/>
  <c r="D22" i="17" s="1"/>
  <c r="D18" i="17"/>
  <c r="D17" i="17"/>
  <c r="D13" i="17"/>
  <c r="D12" i="17"/>
  <c r="D11" i="17"/>
  <c r="D10" i="17"/>
  <c r="D9" i="17"/>
  <c r="C21" i="17" s="1"/>
  <c r="B51" i="16"/>
  <c r="E43" i="16"/>
  <c r="F32" i="16"/>
  <c r="F31" i="16"/>
  <c r="F30" i="16"/>
  <c r="F29" i="16"/>
  <c r="F28" i="16"/>
  <c r="F27" i="16"/>
  <c r="F25" i="16"/>
  <c r="D25" i="16"/>
  <c r="F24" i="16"/>
  <c r="D24" i="16"/>
  <c r="C24" i="16"/>
  <c r="F22" i="16"/>
  <c r="F21" i="16"/>
  <c r="D21" i="16"/>
  <c r="F20" i="16"/>
  <c r="F19" i="16"/>
  <c r="F18" i="16"/>
  <c r="F17" i="16"/>
  <c r="F16" i="16"/>
  <c r="F15" i="16"/>
  <c r="F14" i="16"/>
  <c r="D14" i="16"/>
  <c r="D15" i="16" s="1"/>
  <c r="F13" i="16"/>
  <c r="D13" i="16"/>
  <c r="D20" i="16" s="1"/>
  <c r="F12" i="16"/>
  <c r="D12" i="16"/>
  <c r="C25" i="16" s="1"/>
  <c r="F26" i="16" s="1"/>
  <c r="F11" i="16"/>
  <c r="D11" i="16"/>
  <c r="F10" i="16"/>
  <c r="D10" i="16"/>
  <c r="D22" i="16" s="1"/>
  <c r="B51" i="15"/>
  <c r="C44" i="15"/>
  <c r="F32" i="15"/>
  <c r="F31" i="15"/>
  <c r="F30" i="15"/>
  <c r="F29" i="15"/>
  <c r="F28" i="15"/>
  <c r="F27" i="15"/>
  <c r="F25" i="15"/>
  <c r="C25" i="15"/>
  <c r="F24" i="15"/>
  <c r="F22" i="15"/>
  <c r="D22" i="15"/>
  <c r="F21" i="15"/>
  <c r="F20" i="15"/>
  <c r="D20" i="15"/>
  <c r="F19" i="15"/>
  <c r="F18" i="15"/>
  <c r="F17" i="15"/>
  <c r="F16" i="15"/>
  <c r="F15" i="15"/>
  <c r="D15" i="15"/>
  <c r="F14" i="15"/>
  <c r="D14" i="15"/>
  <c r="D16" i="15" s="1"/>
  <c r="F13" i="15"/>
  <c r="D13" i="15"/>
  <c r="D24" i="15" s="1"/>
  <c r="D25" i="15" s="1"/>
  <c r="F26" i="15" s="1"/>
  <c r="F12" i="15"/>
  <c r="D12" i="15"/>
  <c r="C24" i="15" s="1"/>
  <c r="F11" i="15"/>
  <c r="D11" i="15"/>
  <c r="F10" i="15"/>
  <c r="D10" i="15"/>
  <c r="D21" i="15" s="1"/>
  <c r="G33" i="14"/>
  <c r="G32" i="14"/>
  <c r="G31" i="14"/>
  <c r="G30" i="14"/>
  <c r="G29" i="14"/>
  <c r="G28" i="14"/>
  <c r="G27" i="14"/>
  <c r="G26" i="14"/>
  <c r="G24" i="14"/>
  <c r="E24" i="14"/>
  <c r="G23" i="14"/>
  <c r="E23" i="14"/>
  <c r="G22" i="14"/>
  <c r="E22" i="14"/>
  <c r="G19" i="14"/>
  <c r="G18" i="14"/>
  <c r="D18" i="14"/>
  <c r="G17" i="14"/>
  <c r="D17" i="14"/>
  <c r="G16" i="14"/>
  <c r="D16" i="14"/>
  <c r="D24" i="14" s="1"/>
  <c r="G15" i="14"/>
  <c r="D15" i="14"/>
  <c r="D19" i="14" s="1"/>
  <c r="G14" i="14"/>
  <c r="D14" i="14"/>
  <c r="G13" i="14"/>
  <c r="D13" i="14"/>
  <c r="G12" i="14"/>
  <c r="D12" i="14"/>
  <c r="G11" i="14"/>
  <c r="D11" i="14"/>
  <c r="D22" i="14" s="1"/>
  <c r="G10" i="14"/>
  <c r="D10" i="14"/>
  <c r="G9" i="14"/>
  <c r="D9" i="14"/>
  <c r="G8" i="14"/>
  <c r="D8" i="14"/>
  <c r="B49" i="13"/>
  <c r="G43" i="13"/>
  <c r="G34" i="13"/>
  <c r="G33" i="13"/>
  <c r="G32" i="13"/>
  <c r="G31" i="13"/>
  <c r="G30" i="13"/>
  <c r="G29" i="13"/>
  <c r="G28" i="13"/>
  <c r="G27" i="13"/>
  <c r="G24" i="13"/>
  <c r="E24" i="13"/>
  <c r="D24" i="13"/>
  <c r="G23" i="13"/>
  <c r="E23" i="13"/>
  <c r="D23" i="13"/>
  <c r="G26" i="13" s="1"/>
  <c r="G20" i="13"/>
  <c r="D20" i="13"/>
  <c r="G19" i="13"/>
  <c r="D19" i="13"/>
  <c r="G18" i="13"/>
  <c r="D18" i="13"/>
  <c r="G16" i="13"/>
  <c r="D16" i="13"/>
  <c r="G15" i="13"/>
  <c r="D15" i="13"/>
  <c r="G14" i="13"/>
  <c r="D14" i="13"/>
  <c r="G13" i="13"/>
  <c r="D13" i="13"/>
  <c r="G12" i="13"/>
  <c r="D12" i="13"/>
  <c r="G11" i="13"/>
  <c r="D11" i="13"/>
  <c r="G10" i="13"/>
  <c r="D10" i="13"/>
  <c r="G9" i="13"/>
  <c r="D9" i="13"/>
  <c r="B43" i="12"/>
  <c r="G37" i="12"/>
  <c r="G28" i="12"/>
  <c r="G27" i="12"/>
  <c r="G26" i="12"/>
  <c r="G25" i="12"/>
  <c r="G24" i="12"/>
  <c r="G23" i="12"/>
  <c r="G22" i="12"/>
  <c r="G21" i="12"/>
  <c r="G19" i="12"/>
  <c r="D19" i="12"/>
  <c r="G16" i="12"/>
  <c r="D16" i="12"/>
  <c r="G15" i="12"/>
  <c r="D15" i="12"/>
  <c r="E19" i="12" s="1"/>
  <c r="G14" i="12"/>
  <c r="D14" i="12"/>
  <c r="G13" i="12"/>
  <c r="D13" i="12"/>
  <c r="G12" i="12"/>
  <c r="D12" i="12"/>
  <c r="G11" i="12"/>
  <c r="D11" i="12"/>
  <c r="G10" i="12"/>
  <c r="D10" i="12"/>
  <c r="G9" i="12"/>
  <c r="D9" i="12"/>
  <c r="G34" i="11"/>
  <c r="G33" i="11"/>
  <c r="G32" i="11"/>
  <c r="G31" i="11"/>
  <c r="G30" i="11"/>
  <c r="G29" i="11"/>
  <c r="G28" i="11"/>
  <c r="G27" i="11"/>
  <c r="G25" i="11"/>
  <c r="D25" i="11"/>
  <c r="G23" i="11"/>
  <c r="G19" i="11"/>
  <c r="D19" i="11"/>
  <c r="G18" i="11"/>
  <c r="D18" i="11"/>
  <c r="E25" i="11" s="1"/>
  <c r="G17" i="11"/>
  <c r="D17" i="11"/>
  <c r="G16" i="11"/>
  <c r="D16" i="11"/>
  <c r="D20" i="11" s="1"/>
  <c r="G15" i="11"/>
  <c r="G14" i="11"/>
  <c r="D14" i="11"/>
  <c r="E23" i="11" s="1"/>
  <c r="G13" i="11"/>
  <c r="D13" i="11"/>
  <c r="G12" i="11"/>
  <c r="D12" i="11"/>
  <c r="D23" i="11" s="1"/>
  <c r="G26" i="11" s="1"/>
  <c r="G11" i="11"/>
  <c r="D11" i="11"/>
  <c r="G10" i="11"/>
  <c r="D10" i="11"/>
  <c r="G9" i="11"/>
  <c r="D9" i="11"/>
  <c r="D50" i="10"/>
  <c r="H43" i="10"/>
  <c r="G34" i="10"/>
  <c r="G33" i="10"/>
  <c r="G32" i="10"/>
  <c r="G31" i="10"/>
  <c r="G30" i="10"/>
  <c r="G29" i="10"/>
  <c r="G28" i="10"/>
  <c r="G27" i="10"/>
  <c r="G25" i="10"/>
  <c r="D25" i="10"/>
  <c r="G24" i="10"/>
  <c r="G23" i="10"/>
  <c r="G20" i="10"/>
  <c r="G19" i="10"/>
  <c r="D19" i="10"/>
  <c r="G18" i="10"/>
  <c r="D18" i="10"/>
  <c r="E24" i="10" s="1"/>
  <c r="G17" i="10"/>
  <c r="D17" i="10"/>
  <c r="G16" i="10"/>
  <c r="D16" i="10"/>
  <c r="D24" i="10" s="1"/>
  <c r="G15" i="10"/>
  <c r="G14" i="10"/>
  <c r="D14" i="10"/>
  <c r="E23" i="10" s="1"/>
  <c r="G13" i="10"/>
  <c r="D13" i="10"/>
  <c r="G12" i="10"/>
  <c r="D12" i="10"/>
  <c r="D23" i="10" s="1"/>
  <c r="G26" i="10" s="1"/>
  <c r="G11" i="10"/>
  <c r="D11" i="10"/>
  <c r="G10" i="10"/>
  <c r="D10" i="10"/>
  <c r="G9" i="10"/>
  <c r="D9" i="10"/>
  <c r="C41" i="9"/>
  <c r="E36" i="9"/>
  <c r="G27" i="9"/>
  <c r="G26" i="9"/>
  <c r="G25" i="9"/>
  <c r="G24" i="9"/>
  <c r="G23" i="9"/>
  <c r="G22" i="9"/>
  <c r="K21" i="9"/>
  <c r="G21" i="9"/>
  <c r="G20" i="9"/>
  <c r="G18" i="9"/>
  <c r="E18" i="9"/>
  <c r="D18" i="9"/>
  <c r="G19" i="9" s="1"/>
  <c r="G15" i="9"/>
  <c r="D15" i="9"/>
  <c r="K15" i="9" s="1"/>
  <c r="G14" i="9"/>
  <c r="D14" i="9"/>
  <c r="K14" i="9" s="1"/>
  <c r="K13" i="9"/>
  <c r="G13" i="9"/>
  <c r="D13" i="9"/>
  <c r="K12" i="9"/>
  <c r="G12" i="9"/>
  <c r="D12" i="9"/>
  <c r="G11" i="9"/>
  <c r="D11" i="9"/>
  <c r="K11" i="9" s="1"/>
  <c r="G10" i="9"/>
  <c r="D10" i="9"/>
  <c r="K10" i="9" s="1"/>
  <c r="K9" i="9"/>
  <c r="G9" i="9"/>
  <c r="D9" i="9"/>
  <c r="B42" i="8"/>
  <c r="G37" i="8"/>
  <c r="G29" i="8"/>
  <c r="G28" i="8"/>
  <c r="G27" i="8"/>
  <c r="G26" i="8"/>
  <c r="G25" i="8"/>
  <c r="G24" i="8"/>
  <c r="G23" i="8"/>
  <c r="G22" i="8"/>
  <c r="G21" i="8"/>
  <c r="G19" i="8"/>
  <c r="E19" i="8"/>
  <c r="D19" i="8"/>
  <c r="G20" i="8" s="1"/>
  <c r="G16" i="8"/>
  <c r="D16" i="8"/>
  <c r="G15" i="8"/>
  <c r="D15" i="8"/>
  <c r="G14" i="8"/>
  <c r="D14" i="8"/>
  <c r="G13" i="8"/>
  <c r="D13" i="8"/>
  <c r="G12" i="8"/>
  <c r="D12" i="8"/>
  <c r="G11" i="8"/>
  <c r="D11" i="8"/>
  <c r="G10" i="8"/>
  <c r="D10" i="8"/>
  <c r="G9" i="8"/>
  <c r="D9" i="8"/>
  <c r="G35" i="7"/>
  <c r="G34" i="7"/>
  <c r="G33" i="7"/>
  <c r="G32" i="7"/>
  <c r="G31" i="7"/>
  <c r="G30" i="7"/>
  <c r="G29" i="7"/>
  <c r="G28" i="7"/>
  <c r="G25" i="7"/>
  <c r="E25" i="7"/>
  <c r="D25" i="7"/>
  <c r="G24" i="7"/>
  <c r="E24" i="7"/>
  <c r="D24" i="7"/>
  <c r="G27" i="7" s="1"/>
  <c r="G19" i="7"/>
  <c r="G18" i="7"/>
  <c r="D18" i="7"/>
  <c r="D19" i="7" s="1"/>
  <c r="G17" i="7"/>
  <c r="D17" i="7"/>
  <c r="G16" i="7"/>
  <c r="D16" i="7"/>
  <c r="G15" i="7"/>
  <c r="G14" i="7"/>
  <c r="D14" i="7"/>
  <c r="D15" i="7" s="1"/>
  <c r="G12" i="7"/>
  <c r="D12" i="7"/>
  <c r="G11" i="7"/>
  <c r="D11" i="7"/>
  <c r="G10" i="7"/>
  <c r="D10" i="7"/>
  <c r="G9" i="7"/>
  <c r="D9" i="7"/>
  <c r="G39" i="6"/>
  <c r="G38" i="6"/>
  <c r="G37" i="6"/>
  <c r="G36" i="6"/>
  <c r="G35" i="6"/>
  <c r="G34" i="6"/>
  <c r="G33" i="6"/>
  <c r="G32" i="6"/>
  <c r="G30" i="6"/>
  <c r="E30" i="6"/>
  <c r="D30" i="6"/>
  <c r="G29" i="6"/>
  <c r="D29" i="6"/>
  <c r="G28" i="6"/>
  <c r="G23" i="6"/>
  <c r="D23" i="6"/>
  <c r="G22" i="6"/>
  <c r="D22" i="6"/>
  <c r="E29" i="6" s="1"/>
  <c r="G21" i="6"/>
  <c r="D21" i="6"/>
  <c r="G20" i="6"/>
  <c r="D20" i="6"/>
  <c r="G19" i="6"/>
  <c r="D19" i="6"/>
  <c r="G18" i="6"/>
  <c r="G17" i="6"/>
  <c r="D17" i="6"/>
  <c r="D18" i="6" s="1"/>
  <c r="G16" i="6"/>
  <c r="G15" i="6"/>
  <c r="D15" i="6"/>
  <c r="G14" i="6"/>
  <c r="D14" i="6"/>
  <c r="E28" i="6" s="1"/>
  <c r="G13" i="6"/>
  <c r="D13" i="6"/>
  <c r="G12" i="6"/>
  <c r="D12" i="6"/>
  <c r="D28" i="6" s="1"/>
  <c r="G31" i="6" s="1"/>
  <c r="G11" i="6"/>
  <c r="D11" i="6"/>
  <c r="G10" i="6"/>
  <c r="D10" i="6"/>
  <c r="G9" i="6"/>
  <c r="D9" i="6"/>
  <c r="B51" i="5"/>
  <c r="F44" i="5"/>
  <c r="G35" i="5"/>
  <c r="G34" i="5"/>
  <c r="G33" i="5"/>
  <c r="G32" i="5"/>
  <c r="G31" i="5"/>
  <c r="G30" i="5"/>
  <c r="G29" i="5"/>
  <c r="G28" i="5"/>
  <c r="G26" i="5"/>
  <c r="G25" i="5"/>
  <c r="G24" i="5"/>
  <c r="G21" i="5"/>
  <c r="G20" i="5"/>
  <c r="G19" i="5"/>
  <c r="G18" i="5"/>
  <c r="D18" i="5"/>
  <c r="E26" i="5" s="1"/>
  <c r="G17" i="5"/>
  <c r="D17" i="5"/>
  <c r="G16" i="5"/>
  <c r="D16" i="5"/>
  <c r="D25" i="5" s="1"/>
  <c r="G15" i="5"/>
  <c r="G14" i="5"/>
  <c r="D14" i="5"/>
  <c r="E24" i="5" s="1"/>
  <c r="G13" i="5"/>
  <c r="G12" i="5"/>
  <c r="D12" i="5"/>
  <c r="D21" i="5" s="1"/>
  <c r="G11" i="5"/>
  <c r="D11" i="5"/>
  <c r="G10" i="5"/>
  <c r="D10" i="5"/>
  <c r="G9" i="5"/>
  <c r="D9" i="5"/>
  <c r="H27" i="4"/>
  <c r="H26" i="4"/>
  <c r="H25" i="4"/>
  <c r="H24" i="4"/>
  <c r="H23" i="4"/>
  <c r="H22" i="4"/>
  <c r="H21" i="4"/>
  <c r="H20" i="4"/>
  <c r="H18" i="4"/>
  <c r="E18" i="4"/>
  <c r="H15" i="4"/>
  <c r="E15" i="4"/>
  <c r="H14" i="4"/>
  <c r="E14" i="4"/>
  <c r="F18" i="4" s="1"/>
  <c r="H13" i="4"/>
  <c r="E13" i="4"/>
  <c r="H12" i="4"/>
  <c r="E12" i="4"/>
  <c r="H11" i="4"/>
  <c r="E11" i="4"/>
  <c r="H10" i="4"/>
  <c r="E10" i="4"/>
  <c r="H9" i="4"/>
  <c r="E9" i="4"/>
  <c r="B39" i="3"/>
  <c r="G34" i="3"/>
  <c r="G26" i="3"/>
  <c r="G25" i="3"/>
  <c r="G24" i="3"/>
  <c r="G23" i="3"/>
  <c r="G22" i="3"/>
  <c r="G21" i="3"/>
  <c r="G20" i="3"/>
  <c r="G19" i="3"/>
  <c r="G17" i="3"/>
  <c r="E17" i="3"/>
  <c r="D17" i="3"/>
  <c r="G18" i="3" s="1"/>
  <c r="G14" i="3"/>
  <c r="D14" i="3"/>
  <c r="G13" i="3"/>
  <c r="D13" i="3"/>
  <c r="G12" i="3"/>
  <c r="D12" i="3"/>
  <c r="G11" i="3"/>
  <c r="D11" i="3"/>
  <c r="G10" i="3"/>
  <c r="D10" i="3"/>
  <c r="G9" i="3"/>
  <c r="D9" i="3"/>
  <c r="B46" i="2"/>
  <c r="G39" i="2"/>
  <c r="G28" i="2"/>
  <c r="G27" i="2"/>
  <c r="G26" i="2"/>
  <c r="G25" i="2"/>
  <c r="G24" i="2"/>
  <c r="G23" i="2"/>
  <c r="G22" i="2"/>
  <c r="G21" i="2"/>
  <c r="G19" i="2"/>
  <c r="D19" i="2"/>
  <c r="G18" i="2"/>
  <c r="E18" i="2"/>
  <c r="G16" i="2"/>
  <c r="D16" i="2"/>
  <c r="E19" i="2" s="1"/>
  <c r="G15" i="2"/>
  <c r="D15" i="2"/>
  <c r="G14" i="2"/>
  <c r="D14" i="2"/>
  <c r="G13" i="2"/>
  <c r="D13" i="2"/>
  <c r="D18" i="2" s="1"/>
  <c r="G20" i="2" s="1"/>
  <c r="G12" i="2"/>
  <c r="D12" i="2"/>
  <c r="G11" i="2"/>
  <c r="D11" i="2"/>
  <c r="G10" i="2"/>
  <c r="D10" i="2"/>
  <c r="B42" i="1"/>
  <c r="E35" i="1"/>
  <c r="G26" i="1"/>
  <c r="G25" i="1"/>
  <c r="G24" i="1"/>
  <c r="G23" i="1"/>
  <c r="G22" i="1"/>
  <c r="G21" i="1"/>
  <c r="G20" i="1"/>
  <c r="G19" i="1"/>
  <c r="G17" i="1"/>
  <c r="G15" i="1"/>
  <c r="D15" i="1"/>
  <c r="E17" i="1" s="1"/>
  <c r="G14" i="1"/>
  <c r="D14" i="1"/>
  <c r="K14" i="1" s="1"/>
  <c r="K13" i="1"/>
  <c r="G13" i="1"/>
  <c r="D13" i="1"/>
  <c r="D17" i="1" s="1"/>
  <c r="G18" i="1" s="1"/>
  <c r="K12" i="1"/>
  <c r="G12" i="1"/>
  <c r="D12" i="1"/>
  <c r="G11" i="1"/>
  <c r="D11" i="1"/>
  <c r="K11" i="1" s="1"/>
  <c r="G10" i="1"/>
  <c r="D10" i="1"/>
  <c r="K10" i="1" s="1"/>
  <c r="G25" i="14" l="1"/>
  <c r="D23" i="14"/>
  <c r="G20" i="12"/>
  <c r="F24" i="17"/>
  <c r="F24" i="20"/>
  <c r="F25" i="21"/>
  <c r="H19" i="4"/>
  <c r="D24" i="5"/>
  <c r="G27" i="5" s="1"/>
  <c r="E25" i="10"/>
  <c r="D16" i="16"/>
  <c r="E22" i="23"/>
  <c r="G25" i="23" s="1"/>
  <c r="D13" i="5"/>
  <c r="D15" i="5"/>
  <c r="D20" i="5" s="1"/>
  <c r="D19" i="5"/>
  <c r="D26" i="5"/>
  <c r="D16" i="6"/>
  <c r="D15" i="10"/>
  <c r="D15" i="11"/>
  <c r="D19" i="17"/>
  <c r="D13" i="18"/>
  <c r="D18" i="23"/>
  <c r="E25" i="5"/>
  <c r="D20" i="10"/>
  <c r="D17" i="24"/>
  <c r="G18" i="24" s="1"/>
  <c r="E24" i="23"/>
  <c r="K15" i="1"/>
  <c r="D17" i="18"/>
  <c r="E20" i="28"/>
  <c r="F22" i="28" s="1"/>
  <c r="D15" i="28"/>
</calcChain>
</file>

<file path=xl/sharedStrings.xml><?xml version="1.0" encoding="utf-8"?>
<sst xmlns="http://schemas.openxmlformats.org/spreadsheetml/2006/main" count="2533" uniqueCount="527">
  <si>
    <t>PRECIO</t>
  </si>
  <si>
    <t>mate</t>
  </si>
  <si>
    <t xml:space="preserve"> VENTANERIA 5020  DOS HOJAS</t>
  </si>
  <si>
    <t>ALTURA</t>
  </si>
  <si>
    <t>CENTIMETROS</t>
  </si>
  <si>
    <t>M2</t>
  </si>
  <si>
    <t>ANCHO</t>
  </si>
  <si>
    <t>CANTIDAD</t>
  </si>
  <si>
    <t>REF. ALUMINIO</t>
  </si>
  <si>
    <t>REF. VIDRIO</t>
  </si>
  <si>
    <t>DESCRIPCION</t>
  </si>
  <si>
    <t>REF.</t>
  </si>
  <si>
    <t>MEDIDAS EN CENTIMETROS</t>
  </si>
  <si>
    <t>CANT UND.</t>
  </si>
  <si>
    <t>CORTE GRADOS</t>
  </si>
  <si>
    <t>CANTIDAD DE MATERIAL</t>
  </si>
  <si>
    <t xml:space="preserve">REF </t>
  </si>
  <si>
    <t xml:space="preserve">DESCRIPCION </t>
  </si>
  <si>
    <t>CANT. M.L</t>
  </si>
  <si>
    <t>MARCO</t>
  </si>
  <si>
    <t>CABEZAL</t>
  </si>
  <si>
    <t>ALNA-144</t>
  </si>
  <si>
    <t>CABEZAL 5020</t>
  </si>
  <si>
    <t>SILLAR</t>
  </si>
  <si>
    <t>ALNA-194</t>
  </si>
  <si>
    <t>SILLAR 5020</t>
  </si>
  <si>
    <t>JAMBA</t>
  </si>
  <si>
    <t>ALNB-193</t>
  </si>
  <si>
    <t>JAMBA 5020</t>
  </si>
  <si>
    <t>HOJAS</t>
  </si>
  <si>
    <t>ENGANCHE</t>
  </si>
  <si>
    <t>ALNB-147</t>
  </si>
  <si>
    <t>ENGANCHE 5020</t>
  </si>
  <si>
    <t>TRASLAPE</t>
  </si>
  <si>
    <t>ALNA-192</t>
  </si>
  <si>
    <t>TRASLAPE 5020</t>
  </si>
  <si>
    <t xml:space="preserve">HORIZONTAL </t>
  </si>
  <si>
    <t>ALNA-349</t>
  </si>
  <si>
    <t>HORIZONTAL  5020</t>
  </si>
  <si>
    <t>VIDRIOS</t>
  </si>
  <si>
    <t>4m.m.</t>
  </si>
  <si>
    <t xml:space="preserve">ANCHO </t>
  </si>
  <si>
    <t>EMPAQUE</t>
  </si>
  <si>
    <t>ML</t>
  </si>
  <si>
    <t>TORNILLERIA</t>
  </si>
  <si>
    <t>8 X 3/4 ¨</t>
  </si>
  <si>
    <t>8 X 1/2´</t>
  </si>
  <si>
    <t>8 X 1´</t>
  </si>
  <si>
    <t>REMACHES</t>
  </si>
  <si>
    <t>4 - 2´</t>
  </si>
  <si>
    <t>ROACHINAS</t>
  </si>
  <si>
    <t>AMERICANAS</t>
  </si>
  <si>
    <t xml:space="preserve"> CHAZOS</t>
  </si>
  <si>
    <t>GUIAS</t>
  </si>
  <si>
    <t>SEGURO</t>
  </si>
  <si>
    <t>PUNTO ROJO</t>
  </si>
  <si>
    <t>FECHA DE ORDEN</t>
  </si>
  <si>
    <t>FECHA DE ENTREGA</t>
  </si>
  <si>
    <t>OBSERVACIONES</t>
  </si>
  <si>
    <t>ENCARGADO</t>
  </si>
  <si>
    <t xml:space="preserve"> VENTANERIA 5020 TRES HOJAS</t>
  </si>
  <si>
    <t>DESCRICCION</t>
  </si>
  <si>
    <t>HOR, CORR.</t>
  </si>
  <si>
    <t>HOR.FIJO</t>
  </si>
  <si>
    <t>4 m.m</t>
  </si>
  <si>
    <t>HOJAS CORR.</t>
  </si>
  <si>
    <t>HOJA FIJA</t>
  </si>
  <si>
    <t>8 X 1¨</t>
  </si>
  <si>
    <t>8X 1/2</t>
  </si>
  <si>
    <t>8X 1 1/2¨</t>
  </si>
  <si>
    <t>CHAZOS</t>
  </si>
  <si>
    <t xml:space="preserve"> VENTANA 5020 CUATRO HOJAS</t>
  </si>
  <si>
    <t xml:space="preserve"> REF.ALUMINIO</t>
  </si>
  <si>
    <t>ANB-193</t>
  </si>
  <si>
    <t xml:space="preserve">VIDRIOS </t>
  </si>
  <si>
    <t>4 m.m.</t>
  </si>
  <si>
    <t>8 x 3/4¨</t>
  </si>
  <si>
    <t>8 x1 1/2¨</t>
  </si>
  <si>
    <t>8 X 1-2´</t>
  </si>
  <si>
    <t>1/4´´</t>
  </si>
  <si>
    <t>RODACHINAS</t>
  </si>
  <si>
    <t>PLASTICAS</t>
  </si>
  <si>
    <t xml:space="preserve">SEGURO </t>
  </si>
  <si>
    <t xml:space="preserve"> PUERTA 744 DE DOS HOJAS </t>
  </si>
  <si>
    <t>ANGULO CORTE</t>
  </si>
  <si>
    <t>ALN-392</t>
  </si>
  <si>
    <t>ALN-387</t>
  </si>
  <si>
    <t>ALN-393</t>
  </si>
  <si>
    <t xml:space="preserve">HOJAS </t>
  </si>
  <si>
    <t>ENGANCHE 744</t>
  </si>
  <si>
    <t>ALN-391</t>
  </si>
  <si>
    <t>TRASLAPE 744</t>
  </si>
  <si>
    <t>ALN-388</t>
  </si>
  <si>
    <t>HORIZONTAL SUP.</t>
  </si>
  <si>
    <t>ALN-389</t>
  </si>
  <si>
    <t>HORIZONTAL INF.</t>
  </si>
  <si>
    <t>ALNA-390</t>
  </si>
  <si>
    <t>5 m. m.</t>
  </si>
  <si>
    <t>8 X 3/4 ¨ HOJAS</t>
  </si>
  <si>
    <t xml:space="preserve">8 X 1 1/2¨ </t>
  </si>
  <si>
    <t>8 X 1/2¨</t>
  </si>
  <si>
    <t>1/4¨</t>
  </si>
  <si>
    <t>744 ACERO</t>
  </si>
  <si>
    <t>744 INFERIORES</t>
  </si>
  <si>
    <t>744 SUPERIORES</t>
  </si>
  <si>
    <t>JAGUAR DOBLE</t>
  </si>
  <si>
    <t xml:space="preserve"> PUERTA CORREDISA 744 DE 3 HOJAS 1 DE PARCHE</t>
  </si>
  <si>
    <t>ANGULO GRADOS</t>
  </si>
  <si>
    <t>HOJAS CORREDERAS</t>
  </si>
  <si>
    <t>ANGULO 3/4 x 3/4</t>
  </si>
  <si>
    <t>ADACTADOR</t>
  </si>
  <si>
    <t>ALN403</t>
  </si>
  <si>
    <t>5 m.m.</t>
  </si>
  <si>
    <t xml:space="preserve"> HOJA FIJA</t>
  </si>
  <si>
    <t>ENGA, Y ENGAN.</t>
  </si>
  <si>
    <t>ENGA. Y TRASL.</t>
  </si>
  <si>
    <t>8 X 1 1/2¨</t>
  </si>
  <si>
    <t xml:space="preserve"> PUERTA CORREDISA 744 DE 3 HOJAS (diseño cliente)</t>
  </si>
  <si>
    <t>HOJA FIJA (enganche - traslape)</t>
  </si>
  <si>
    <t>HOJA FIJA (traslape - traslape)</t>
  </si>
  <si>
    <t>HORIZONTAL SUP</t>
  </si>
  <si>
    <t>HORIZONTAL INF</t>
  </si>
  <si>
    <t>ALN390</t>
  </si>
  <si>
    <t>ADAPTADOR 744</t>
  </si>
  <si>
    <t>TRASLAPE TRASLAPE</t>
  </si>
  <si>
    <t>CORREDERA</t>
  </si>
  <si>
    <t xml:space="preserve"> PUERTA CORREDISA 744 DE 3 HOJAS  (corredera 25%, fijo 50%, y corredera 25%)</t>
  </si>
  <si>
    <t>CORREDERAS</t>
  </si>
  <si>
    <t xml:space="preserve">PUERTA CORREDISA 744 DE CUATRO HOJAS </t>
  </si>
  <si>
    <t xml:space="preserve">CENTIMETROS </t>
  </si>
  <si>
    <t>CANT</t>
  </si>
  <si>
    <t>ADCTADOR 744</t>
  </si>
  <si>
    <t>ALN-403</t>
  </si>
  <si>
    <t>5 mm</t>
  </si>
  <si>
    <t>744 INF.</t>
  </si>
  <si>
    <t>744 SUP.</t>
  </si>
  <si>
    <t>HAGUAR DOBLE</t>
  </si>
  <si>
    <t>UÑERO DOBLE</t>
  </si>
  <si>
    <t xml:space="preserve"> PUERTA CORREDERA 8025 DE DOS HOJAS </t>
  </si>
  <si>
    <t>CABEZAL 8025</t>
  </si>
  <si>
    <t>SILLAR 8025</t>
  </si>
  <si>
    <t>JAMBA 8025</t>
  </si>
  <si>
    <t>ENGANCHE 8025</t>
  </si>
  <si>
    <t>TRASLAPE 8025</t>
  </si>
  <si>
    <t>8025  ACERO</t>
  </si>
  <si>
    <t>8025  INFERIORES</t>
  </si>
  <si>
    <t>8025  SUPERIORES</t>
  </si>
  <si>
    <t xml:space="preserve"> PUERTA CORREDERA 8025 DE TRES HOJAS OXO</t>
  </si>
  <si>
    <t>6 MM</t>
  </si>
  <si>
    <t>8025 ACERO</t>
  </si>
  <si>
    <t>8025 INFERIORES</t>
  </si>
  <si>
    <t>8025 SUPERIORES</t>
  </si>
  <si>
    <t>8025 DE TRES HOJAS oXo</t>
  </si>
  <si>
    <t xml:space="preserve">PUERTA CORREDERA 8025 DE CUATRO HOJAS </t>
  </si>
  <si>
    <t>ADCTADOR 8025</t>
  </si>
  <si>
    <t>8025 INF.</t>
  </si>
  <si>
    <t>8025  SUP.</t>
  </si>
  <si>
    <t xml:space="preserve"> CORREDERA 8025 3 HOJAS (diseño cliente)</t>
  </si>
  <si>
    <t xml:space="preserve"> CORREDERAS</t>
  </si>
  <si>
    <t>FIJO</t>
  </si>
  <si>
    <t>ALN-390</t>
  </si>
  <si>
    <t>VIDRIO FIJO</t>
  </si>
  <si>
    <t>VIDRIOS NAVES</t>
  </si>
  <si>
    <t xml:space="preserve"> PUERTA CORREDERA 8025 DE TRES HOJAS (TRIPLE CARRIL)</t>
  </si>
  <si>
    <t>ALN8025</t>
  </si>
  <si>
    <t>5MM</t>
  </si>
  <si>
    <t>CABEZAL3 RIELES</t>
  </si>
  <si>
    <t>SILLAR 3 RIELES</t>
  </si>
  <si>
    <t>JAMBA 3 RIELES</t>
  </si>
  <si>
    <t xml:space="preserve">                                         VITTEMP</t>
  </si>
  <si>
    <t xml:space="preserve"> PUERTA BATIENTE 1 1/2 X 1 1/2</t>
  </si>
  <si>
    <t>MEDIDA  CENTIMETROS</t>
  </si>
  <si>
    <t>U 2X1 SUPER CORRIDA</t>
  </si>
  <si>
    <t>PU-057</t>
  </si>
  <si>
    <t>TUBO  1 1/2 X 1 1/2 CON ADAPTADOR</t>
  </si>
  <si>
    <t>ALN-1101</t>
  </si>
  <si>
    <t>ADAPTADOR</t>
  </si>
  <si>
    <t>ALN-1175</t>
  </si>
  <si>
    <t>TUBO 3 X 1 1/2 CON ADAPTADDOR</t>
  </si>
  <si>
    <t>ALN-1102</t>
  </si>
  <si>
    <t>ANGULO CHAPETA 1x1¨</t>
  </si>
  <si>
    <t>PISAVIDRIO</t>
  </si>
  <si>
    <t>HORIZONTAL</t>
  </si>
  <si>
    <t>PARAL</t>
  </si>
  <si>
    <t>VIDRIO</t>
  </si>
  <si>
    <t>EMPAMQUE</t>
  </si>
  <si>
    <t>ESTRELLA</t>
  </si>
  <si>
    <t>POP.</t>
  </si>
  <si>
    <t xml:space="preserve">4 - 4¨ </t>
  </si>
  <si>
    <t>5 - 4¨</t>
  </si>
  <si>
    <t>TORNILLOS</t>
  </si>
  <si>
    <t>AVELLANADO</t>
  </si>
  <si>
    <t>8X 2 1/2</t>
  </si>
  <si>
    <t>CHAZO</t>
  </si>
  <si>
    <t xml:space="preserve"> 1/4¨</t>
  </si>
  <si>
    <t>BISAGRAS</t>
  </si>
  <si>
    <t>OMEGA</t>
  </si>
  <si>
    <t>CHAPA</t>
  </si>
  <si>
    <t>LLAVE-BOTON</t>
  </si>
  <si>
    <t xml:space="preserve">                                          VITTEMP</t>
  </si>
  <si>
    <t>REF. ACRILICO</t>
  </si>
  <si>
    <t>U 2X1 SUPERCORRIDA</t>
  </si>
  <si>
    <t>PARALES</t>
  </si>
  <si>
    <t xml:space="preserve"> PUERTA BATIENTE 3x1 1/2 PROYECTANTE</t>
  </si>
  <si>
    <t>SUPERIOR</t>
  </si>
  <si>
    <t>HOJA NAVE</t>
  </si>
  <si>
    <t>3X 1/2 CON ADAP</t>
  </si>
  <si>
    <t>ADAPATADOR</t>
  </si>
  <si>
    <t>LATERALES INF</t>
  </si>
  <si>
    <t>A. SUP</t>
  </si>
  <si>
    <t>FELPA</t>
  </si>
  <si>
    <t xml:space="preserve"> VENTANAL FIJO  PROYECTANTE</t>
  </si>
  <si>
    <t>4,5,6 MM</t>
  </si>
  <si>
    <t>MEDIDAS</t>
  </si>
  <si>
    <t>CABEZAL SILLAR</t>
  </si>
  <si>
    <t>ALNA-173</t>
  </si>
  <si>
    <t>ALN-174</t>
  </si>
  <si>
    <t>PISA VIDRIO</t>
  </si>
  <si>
    <t>ALN-635 CURVO</t>
  </si>
  <si>
    <t>REMACHE</t>
  </si>
  <si>
    <t>4-4"</t>
  </si>
  <si>
    <t>NORMAL</t>
  </si>
  <si>
    <t>8x1/2¨</t>
  </si>
  <si>
    <t>1/4"</t>
  </si>
  <si>
    <t>FIJO PROYECTANTE CON BASCULANTE 3831</t>
  </si>
  <si>
    <t>BANO DE BASCULANTE</t>
  </si>
  <si>
    <t>M. CENTIMETROS</t>
  </si>
  <si>
    <t>ALN-173</t>
  </si>
  <si>
    <t>DIVISOR</t>
  </si>
  <si>
    <t>ALN-292</t>
  </si>
  <si>
    <t>HOJA</t>
  </si>
  <si>
    <t>A15</t>
  </si>
  <si>
    <t>Z DE HOJA  PARAL</t>
  </si>
  <si>
    <t>ALN-176</t>
  </si>
  <si>
    <t>Z DE HOJA  HORIZ</t>
  </si>
  <si>
    <t>HORIZONTALES FIJO</t>
  </si>
  <si>
    <t>PARALES  FIJO</t>
  </si>
  <si>
    <t>HORIZONTALES HOJA</t>
  </si>
  <si>
    <t>PARALES HOJA</t>
  </si>
  <si>
    <t>TORNILLO PAN</t>
  </si>
  <si>
    <t>8X 3/4</t>
  </si>
  <si>
    <t>MANIJA</t>
  </si>
  <si>
    <t xml:space="preserve">BASCULANTE </t>
  </si>
  <si>
    <t>BRAZO</t>
  </si>
  <si>
    <t>8"</t>
  </si>
  <si>
    <t>FIJO PROYECTANTE CON 2 BASCULANTE 3831</t>
  </si>
  <si>
    <t>ANCHO BANO BASCULANTE</t>
  </si>
  <si>
    <t>LATERALES FIJO</t>
  </si>
  <si>
    <t>LATERALES HOJA</t>
  </si>
  <si>
    <t xml:space="preserve"> PUERTA 7038 DE 2 HOJAS</t>
  </si>
  <si>
    <t>ALN-700</t>
  </si>
  <si>
    <t>ALN-775</t>
  </si>
  <si>
    <t>ALN-702</t>
  </si>
  <si>
    <t>ENGANCHE 7038</t>
  </si>
  <si>
    <t>ALN-705</t>
  </si>
  <si>
    <t>TRASLAPE 7038</t>
  </si>
  <si>
    <t>ALN-704</t>
  </si>
  <si>
    <t>HORISONTAL SUP.</t>
  </si>
  <si>
    <t>ALN-703</t>
  </si>
  <si>
    <t>10X1</t>
  </si>
  <si>
    <t>10X2</t>
  </si>
  <si>
    <t>7038 SUP</t>
  </si>
  <si>
    <t>7038 INF</t>
  </si>
  <si>
    <t>ALUMINIO</t>
  </si>
  <si>
    <t>OVERSEA</t>
  </si>
  <si>
    <t xml:space="preserve"> PUERTA CORREDISA 7038 DE 3 HOJAS 1 DE PARCHE</t>
  </si>
  <si>
    <t>HORIONTAL INF.</t>
  </si>
  <si>
    <t>10x1</t>
  </si>
  <si>
    <t xml:space="preserve">PUERTA CORREDERA 7038  DE CUATRO HOJAS </t>
  </si>
  <si>
    <t>HSP-019</t>
  </si>
  <si>
    <t>6 mm</t>
  </si>
  <si>
    <t>10 X 1 ¨</t>
  </si>
  <si>
    <t>10 X 2 ¨</t>
  </si>
  <si>
    <t xml:space="preserve">OVERSEA </t>
  </si>
  <si>
    <t xml:space="preserve"> PUERTA 7038 (EMPOTRAR) DE 2 HOJAS</t>
  </si>
  <si>
    <t>ALN-701</t>
  </si>
  <si>
    <t>ENGANCHE  FIJO</t>
  </si>
  <si>
    <t>TRASLAPE  FIJO</t>
  </si>
  <si>
    <t>ENGANCHE NAVE</t>
  </si>
  <si>
    <t>TRASLAPE NAVE</t>
  </si>
  <si>
    <t>NAVE</t>
  </si>
  <si>
    <t>7038 DE INCRUSTAR PUERTA CORREDISA  DE 3 HOJAS 1 DE PARCHE</t>
  </si>
  <si>
    <t xml:space="preserve">7038 DE EMPOTRAR CUATRO HOJAS </t>
  </si>
  <si>
    <t>ENGANCHE FIJO</t>
  </si>
  <si>
    <t>TRASLAPE FIJO</t>
  </si>
  <si>
    <t>FIJOS</t>
  </si>
  <si>
    <t>NAVES</t>
  </si>
  <si>
    <t xml:space="preserve"> DIVIBAÑO EN ACRILICO</t>
  </si>
  <si>
    <t>ALNA-346</t>
  </si>
  <si>
    <t>S-597</t>
  </si>
  <si>
    <t>ALN-343</t>
  </si>
  <si>
    <t>U LIVIANA PA</t>
  </si>
  <si>
    <t>S-596</t>
  </si>
  <si>
    <t>U LIVIANA H.</t>
  </si>
  <si>
    <t>TOALLERO</t>
  </si>
  <si>
    <t>BARRA T.</t>
  </si>
  <si>
    <t>ALN-234</t>
  </si>
  <si>
    <t>SOPORTE T.</t>
  </si>
  <si>
    <t>S-1362</t>
  </si>
  <si>
    <t>S-540</t>
  </si>
  <si>
    <t>CHAPETAS</t>
  </si>
  <si>
    <t>ANGULO 1x1¨</t>
  </si>
  <si>
    <t>A-011</t>
  </si>
  <si>
    <t>ACRILICO</t>
  </si>
  <si>
    <t>HOJA CORR.</t>
  </si>
  <si>
    <t>DIVIBAÑO</t>
  </si>
  <si>
    <t>TRIANGULO</t>
  </si>
  <si>
    <t>PAN</t>
  </si>
  <si>
    <t>8x1"</t>
  </si>
  <si>
    <t>8x1¨</t>
  </si>
  <si>
    <t>PLASTICO</t>
  </si>
  <si>
    <t xml:space="preserve"> PUERTA VATIENTE U. LIVIANA</t>
  </si>
  <si>
    <t>BOTAGUA CORRIENTE</t>
  </si>
  <si>
    <t>S.268</t>
  </si>
  <si>
    <t>TRASLAPE DE 744</t>
  </si>
  <si>
    <t>ENCHAPE BLANCO</t>
  </si>
  <si>
    <t>4 - 4¨</t>
  </si>
  <si>
    <t>TORNILLO</t>
  </si>
  <si>
    <t>10*2"</t>
  </si>
  <si>
    <t>BISAGRA</t>
  </si>
  <si>
    <t>DIVISION DE BAÑO ALUMINIO</t>
  </si>
  <si>
    <t>ALEMAN</t>
  </si>
  <si>
    <t>ALACENA EN U. DE DOS HOJAS CORREDERAS</t>
  </si>
  <si>
    <t>REF. ACRILICOS</t>
  </si>
  <si>
    <t>MEDIDAS EN MILIMETROS</t>
  </si>
  <si>
    <t>SILLAR DIV DE BAÑO</t>
  </si>
  <si>
    <t>CABEZAL DIV DE BAÑO</t>
  </si>
  <si>
    <t>JAMBAS U.</t>
  </si>
  <si>
    <t>U LIVIANA PARAL</t>
  </si>
  <si>
    <t>U LIVIANA H SUP</t>
  </si>
  <si>
    <t>CHAPETAS 1X1¨</t>
  </si>
  <si>
    <t>ACRILICOS</t>
  </si>
  <si>
    <t>DE PISO</t>
  </si>
  <si>
    <t>1 / 4¨</t>
  </si>
  <si>
    <t>MANIJAS</t>
  </si>
  <si>
    <t>ALUMINIO DIVISION DE BAÑO</t>
  </si>
  <si>
    <t xml:space="preserve"> VENTANERIA COLOSAL 2.6  2 HOJAS</t>
  </si>
  <si>
    <t>1 extremo a 5°</t>
  </si>
  <si>
    <t>HORIZONTAL SUPERIOR</t>
  </si>
  <si>
    <t>HORIZONTAL INF NAVE</t>
  </si>
  <si>
    <t>HORIZONTAL INF FIJO</t>
  </si>
  <si>
    <t>6m.m.</t>
  </si>
  <si>
    <t>RDA 260-A/B</t>
  </si>
  <si>
    <t>CHAPA DE IMPACTO</t>
  </si>
  <si>
    <t xml:space="preserve"> VENTANERIA COLOSAL 2.6  3 HOJAS IGUALES  XOX</t>
  </si>
  <si>
    <t>N/A</t>
  </si>
  <si>
    <t>HORIZONTAL SUP NAVE</t>
  </si>
  <si>
    <t>HORIZONTAL SUP FIJO</t>
  </si>
  <si>
    <t xml:space="preserve"> VENTANERIA COLOSAL 2.6  4 HOJAS OXXO</t>
  </si>
  <si>
    <t xml:space="preserve">HORIZONTAL SUPERIOR </t>
  </si>
  <si>
    <t xml:space="preserve"> VENTANERIA COLOSAL 3.45 XO y XX</t>
  </si>
  <si>
    <t>COLOSAL 3.45</t>
  </si>
  <si>
    <t>6MM</t>
  </si>
  <si>
    <t>MARCO SUP E INF</t>
  </si>
  <si>
    <t>MARCO JAMBA</t>
  </si>
  <si>
    <t xml:space="preserve">ENTRECIERRE </t>
  </si>
  <si>
    <t xml:space="preserve">NAVE VERTICAL
</t>
  </si>
  <si>
    <t>HORIZONTAL SUP E INF</t>
  </si>
  <si>
    <t xml:space="preserve">ESCUADRA DE ALINEACIÓN </t>
  </si>
  <si>
    <t>ESQ 345</t>
  </si>
  <si>
    <t>RDA 345-A</t>
  </si>
  <si>
    <t xml:space="preserve"> VENTANERIA ASTRAL 1.7 2 HOJAS</t>
  </si>
  <si>
    <t>1 extremo a 10°</t>
  </si>
  <si>
    <t xml:space="preserve">ENGANCHE </t>
  </si>
  <si>
    <t>RDA 170-A</t>
  </si>
  <si>
    <t xml:space="preserve">                                </t>
  </si>
  <si>
    <t xml:space="preserve"> ZINU BASCULANTE </t>
  </si>
  <si>
    <t>EUROPEO ZINU</t>
  </si>
  <si>
    <t>TERMOACUSTICO 22MM CON CAMARA</t>
  </si>
  <si>
    <t>PERIETRAL MARCO HORIZONTAL</t>
  </si>
  <si>
    <t>PERIMETRAL MARCO VERTICAL</t>
  </si>
  <si>
    <t>Z DE HOJA  VERTICAL</t>
  </si>
  <si>
    <t>DE CADA REFERENCIA</t>
  </si>
  <si>
    <t xml:space="preserve">ACCESORIOS </t>
  </si>
  <si>
    <t>ESCUADRA ENSAMBLE MARCO</t>
  </si>
  <si>
    <t>ESCUADRA ENSAMBLE NAVE</t>
  </si>
  <si>
    <t>MECANISMO DE CIERRE</t>
  </si>
  <si>
    <t>CREMONA</t>
  </si>
  <si>
    <t>LIMITADOR</t>
  </si>
  <si>
    <t xml:space="preserve"> ZINU CUERPO FIJO</t>
  </si>
  <si>
    <t xml:space="preserve"> VENTANA ZINU DISEÑO O-X</t>
  </si>
  <si>
    <t>ALTURA TOTAL VENTANA</t>
  </si>
  <si>
    <t>ANCHO TOTAL VENTANA</t>
  </si>
  <si>
    <t>ANCHO BANO NAVE</t>
  </si>
  <si>
    <t>DIVISOR VERTICAL</t>
  </si>
  <si>
    <t>Z DE HOJA  PARAL(vertical)</t>
  </si>
  <si>
    <t>VERTICALES FIJO</t>
  </si>
  <si>
    <t>VERTICALES HOJA</t>
  </si>
  <si>
    <t xml:space="preserve"> VENTANA ZINU DISEÑO X-O-X</t>
  </si>
  <si>
    <t>PUERTA CORREDIZA KALIMA 2 HOJAS</t>
  </si>
  <si>
    <t>KALIMA</t>
  </si>
  <si>
    <t>6,8,10 ... 27 MM</t>
  </si>
  <si>
    <t>ANCHO MARCO</t>
  </si>
  <si>
    <t>ALTURA MARCO</t>
  </si>
  <si>
    <t>ANCHO NAVE</t>
  </si>
  <si>
    <t>ALTURA NAVE CERRADURA</t>
  </si>
  <si>
    <t>ALTURA NAVE ENTRECIERRE</t>
  </si>
  <si>
    <t>PISTA RADIAL MARCO</t>
  </si>
  <si>
    <t>GUIA SUPERIOR MARCO</t>
  </si>
  <si>
    <t>COMPLEMENTO MARCO VERT</t>
  </si>
  <si>
    <t>PISTA ANGULAR</t>
  </si>
  <si>
    <t>PISADOR</t>
  </si>
  <si>
    <t>VIDRIO CON CAMARA</t>
  </si>
  <si>
    <t>VIDRIO CON EMPAQUE</t>
  </si>
  <si>
    <t>EMPAQUE 6 Y 8MM</t>
  </si>
  <si>
    <t>ESCUADRAS</t>
  </si>
  <si>
    <t>ENSAMBLE MARCO</t>
  </si>
  <si>
    <t>ENSAMBLE NAVE</t>
  </si>
  <si>
    <t>KIT ACCESORIOS MARCO</t>
  </si>
  <si>
    <t>KIT DE CIERRE</t>
  </si>
  <si>
    <t>KIT ACCESORIOS NAVE</t>
  </si>
  <si>
    <t>KIT ACCESORIOS HOJA FIJA</t>
  </si>
  <si>
    <t>CARRO ELEVABLE</t>
  </si>
  <si>
    <t xml:space="preserve"> CREMONA</t>
  </si>
  <si>
    <t>PUERTA CORREDIZA KIMBAYA 2 HOJAS</t>
  </si>
  <si>
    <t xml:space="preserve"> PUERTA BATIENTE KONCEPT SERIE 40 DISEÑO X</t>
  </si>
  <si>
    <t>UNIDADES</t>
  </si>
  <si>
    <t>KONCEPT SERIE 40</t>
  </si>
  <si>
    <t>MARCO HORIZONTAL</t>
  </si>
  <si>
    <t>MARCO VERTICAL</t>
  </si>
  <si>
    <t>NAVE HORIZONTAL</t>
  </si>
  <si>
    <t>NAVE VERTICAL</t>
  </si>
  <si>
    <t>VERTICAL</t>
  </si>
  <si>
    <t>FECHA DE ORDE</t>
  </si>
  <si>
    <t xml:space="preserve"> PUERTA BATIENTE KONCEPT SERIE 40 DISEÑO OX</t>
  </si>
  <si>
    <t>(ancho nave)</t>
  </si>
  <si>
    <t>MARCO HORIZONTAL MOVIL</t>
  </si>
  <si>
    <t>OOO58</t>
  </si>
  <si>
    <t>MARCO VERTICAL MOVIL</t>
  </si>
  <si>
    <t>PISAVIDRIO NAVE</t>
  </si>
  <si>
    <t>MARCO CUERPO FIJO</t>
  </si>
  <si>
    <t>PISAVIDRIO FIJO</t>
  </si>
  <si>
    <t>ADAPTADOR MULLION</t>
  </si>
  <si>
    <t xml:space="preserve"> VENTANA  5020</t>
  </si>
  <si>
    <t>VENTANERIA 5020 CURVA</t>
  </si>
  <si>
    <t>REF</t>
  </si>
  <si>
    <t xml:space="preserve">DESCRICCION </t>
  </si>
  <si>
    <t>PRECIO METROS</t>
  </si>
  <si>
    <t>PRECIO TRAMO</t>
  </si>
  <si>
    <t>PRECIO MT</t>
  </si>
  <si>
    <t>ALNA.144</t>
  </si>
  <si>
    <t>ALNA. 194</t>
  </si>
  <si>
    <t xml:space="preserve">SILLAR </t>
  </si>
  <si>
    <t>ALNB. 193</t>
  </si>
  <si>
    <t>ALNB. 147</t>
  </si>
  <si>
    <t>ALNA. 192</t>
  </si>
  <si>
    <t>ALNA. 349</t>
  </si>
  <si>
    <t>ALN. 581</t>
  </si>
  <si>
    <t>SILLAR ALFAJIA</t>
  </si>
  <si>
    <t>RETICULA</t>
  </si>
  <si>
    <t>VENTANAS 744</t>
  </si>
  <si>
    <t>PRECIO VENTANERIA 5020 PLUS</t>
  </si>
  <si>
    <t>PRECIO METRO</t>
  </si>
  <si>
    <t xml:space="preserve">CABEZAL </t>
  </si>
  <si>
    <t>ALN - 392</t>
  </si>
  <si>
    <t>ALN - 387</t>
  </si>
  <si>
    <t>ALN - 393</t>
  </si>
  <si>
    <t>ALN - 391</t>
  </si>
  <si>
    <t>ALN - 388</t>
  </si>
  <si>
    <t>ALN - 389</t>
  </si>
  <si>
    <t>HOR. SUPERIOR</t>
  </si>
  <si>
    <t>ALN - 390</t>
  </si>
  <si>
    <t>HOR. INFERIOR</t>
  </si>
  <si>
    <t>ALN - 403</t>
  </si>
  <si>
    <t xml:space="preserve">DIVISIONES DE BAÑO ACRILICO </t>
  </si>
  <si>
    <t>u</t>
  </si>
  <si>
    <t>SILLAR CABEZAL</t>
  </si>
  <si>
    <t xml:space="preserve">RIEL </t>
  </si>
  <si>
    <t>PISAVIDRIO CURVO</t>
  </si>
  <si>
    <t>JAMBA 6mt</t>
  </si>
  <si>
    <t>T PROYECTANTE</t>
  </si>
  <si>
    <t>U LIVIANA</t>
  </si>
  <si>
    <t>ADAPTADOR PROYECTANTE</t>
  </si>
  <si>
    <t>BARRA TOALLERO</t>
  </si>
  <si>
    <t>SOPORTE TOALL</t>
  </si>
  <si>
    <t>EMPAQUE BURBUJA</t>
  </si>
  <si>
    <t>EMPAQUE ESTRELLITA</t>
  </si>
  <si>
    <t xml:space="preserve">ACRILICO </t>
  </si>
  <si>
    <t xml:space="preserve">EMPAQUE </t>
  </si>
  <si>
    <t>OTROS PERFILES</t>
  </si>
  <si>
    <t>TAPA PASAMANOS</t>
  </si>
  <si>
    <t>TUBOS</t>
  </si>
  <si>
    <t>PERSIANA FIJA</t>
  </si>
  <si>
    <t>REVESTIMIENTO PLANO</t>
  </si>
  <si>
    <t>1X1 (1)</t>
  </si>
  <si>
    <t>ANGULO 1/2</t>
  </si>
  <si>
    <t>1X1 (2)</t>
  </si>
  <si>
    <t>PISAVIDRIO 1/2X3/8</t>
  </si>
  <si>
    <t>1X1 LISO</t>
  </si>
  <si>
    <t>1X1 1/4 CIRCULO 1</t>
  </si>
  <si>
    <t>1 1/2 X 1 1/2 CON ADAPTA</t>
  </si>
  <si>
    <t>1 1/2 X 1 1/2 1/4 CIRCULO</t>
  </si>
  <si>
    <t>1 1/2 X 1 1/2 LISO</t>
  </si>
  <si>
    <t>TUBO RANURADO</t>
  </si>
  <si>
    <t>2X1 LISO</t>
  </si>
  <si>
    <t>RIEL CLOSET</t>
  </si>
  <si>
    <t>2X1 (2) SUPER</t>
  </si>
  <si>
    <t>ACRILICO 120</t>
  </si>
  <si>
    <t>2x1 (1)super</t>
  </si>
  <si>
    <t>ACRILICO 100</t>
  </si>
  <si>
    <t>2x1 (1) descentr</t>
  </si>
  <si>
    <t>AJOENCHAPE</t>
  </si>
  <si>
    <t>3X1 1/2 adapt</t>
  </si>
  <si>
    <t>ACRILICO 70</t>
  </si>
  <si>
    <t>3/4x 1 1/2 liso</t>
  </si>
  <si>
    <t>ACRILICO ADRI</t>
  </si>
  <si>
    <t>3/4 liso</t>
  </si>
  <si>
    <t>1X1 1/4 CIRCULO (2)</t>
  </si>
  <si>
    <t>5/8 liso</t>
  </si>
  <si>
    <t>1 1/2 X 1 1/2 1/4 CIRCULO (2)</t>
  </si>
  <si>
    <t>5/8 (1)</t>
  </si>
  <si>
    <t>SISTEMA U</t>
  </si>
  <si>
    <t>5/8 (2)</t>
  </si>
  <si>
    <t>U 2X1 SUPER SUPER</t>
  </si>
  <si>
    <t>3x 1 1/2 liso</t>
  </si>
  <si>
    <t>MOSQUITERO</t>
  </si>
  <si>
    <t>3x1 liso</t>
  </si>
  <si>
    <t>U 3X1</t>
  </si>
  <si>
    <t>VENTANAS 744 CURVO</t>
  </si>
  <si>
    <t>VENTANAS 8025</t>
  </si>
  <si>
    <t>VENTANAS 8025 CURVO</t>
  </si>
  <si>
    <t>PUERTAS 7038</t>
  </si>
  <si>
    <t xml:space="preserve">       </t>
  </si>
  <si>
    <t>SEGURO JAGUAR</t>
  </si>
  <si>
    <t xml:space="preserve"> </t>
  </si>
  <si>
    <t>ALTURA (H)</t>
  </si>
  <si>
    <t>ANCHO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</si>
</sst>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_-* #,##0\ _€_-;\-* #,##0\ _€_-;_-* &quot;-&quot;??\ _€_-;_-@"/>
    <numFmt numFmtId="165" formatCode="_-&quot;$&quot;* #,##0_-;\-&quot;$&quot;* #,##0_-;_-&quot;$&quot;* &quot;-&quot;??_-;_-@"/>
    <numFmt numFmtId="166" formatCode="0.0"/>
    <numFmt numFmtId="167" formatCode="[$-40A]dd\-mmm"/>
    <numFmt numFmtId="168" formatCode="_-[$$-240A]\ * #,##0_ ;_-[$$-240A]\ * \-#,##0\ ;_-[$$-240A]\ * &quot;-&quot;??_ ;_-@_ "/>
    <numFmt numFmtId="169" formatCode="#,##0;[Red]#,##0"/>
  </numFmts>
  <fonts count="78" x14ac:knownFonts="1">
    <font>
      <sz val="11"/>
      <color rgb="FF000000"/>
      <name val="Calibri"/>
      <scheme val="minor"/>
    </font>
    <font>
      <b/>
      <sz val="18"/>
      <name val="Arial"/>
      <family val="2"/>
    </font>
    <font>
      <sz val="11"/>
      <name val="Calibri"/>
      <family val="2"/>
    </font>
    <font>
      <b/>
      <sz val="16"/>
      <color rgb="FFFF0000"/>
      <name val="Calibri"/>
      <family val="2"/>
    </font>
    <font>
      <sz val="11"/>
      <color rgb="FF000000"/>
      <name val="Calibri"/>
      <family val="2"/>
    </font>
    <font>
      <b/>
      <sz val="16"/>
      <color rgb="FFFF0000"/>
      <name val="Arial"/>
      <family val="2"/>
    </font>
    <font>
      <b/>
      <sz val="16"/>
      <name val="Arial"/>
      <family val="2"/>
    </font>
    <font>
      <sz val="16"/>
      <color rgb="FFFF0000"/>
      <name val="Calibri"/>
      <family val="2"/>
    </font>
    <font>
      <b/>
      <sz val="14"/>
      <name val="Arial"/>
      <family val="2"/>
    </font>
    <font>
      <sz val="11"/>
      <color rgb="FFFF0000"/>
      <name val="Calibri"/>
      <family val="2"/>
    </font>
    <font>
      <b/>
      <sz val="9"/>
      <name val="Arial"/>
      <family val="2"/>
    </font>
    <font>
      <b/>
      <sz val="16"/>
      <color rgb="FF000000"/>
      <name val="Calibri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2"/>
      <color rgb="FF4473C4"/>
      <name val="Arial"/>
      <family val="2"/>
    </font>
    <font>
      <b/>
      <sz val="14"/>
      <color rgb="FF4473C4"/>
      <name val="Arial"/>
      <family val="2"/>
    </font>
    <font>
      <b/>
      <sz val="10"/>
      <color rgb="FF4473C4"/>
      <name val="Arial"/>
      <family val="2"/>
    </font>
    <font>
      <b/>
      <sz val="9"/>
      <color rgb="FF4473C4"/>
      <name val="Arial"/>
      <family val="2"/>
    </font>
    <font>
      <b/>
      <sz val="14"/>
      <color rgb="FFFF0000"/>
      <name val="Arial"/>
      <family val="2"/>
    </font>
    <font>
      <b/>
      <sz val="10"/>
      <color rgb="FF0070C0"/>
      <name val="Arial"/>
      <family val="2"/>
    </font>
    <font>
      <b/>
      <sz val="12"/>
      <color rgb="FF0070C0"/>
      <name val="Arial"/>
      <family val="2"/>
    </font>
    <font>
      <b/>
      <sz val="8"/>
      <color rgb="FF0070C0"/>
      <name val="Arial"/>
      <family val="2"/>
    </font>
    <font>
      <b/>
      <sz val="11"/>
      <color rgb="FF000000"/>
      <name val="Calibri"/>
      <family val="2"/>
    </font>
    <font>
      <b/>
      <sz val="16"/>
      <color rgb="FF5C9BD5"/>
      <name val="Arial"/>
      <family val="2"/>
    </font>
    <font>
      <b/>
      <sz val="10"/>
      <color rgb="FF5C9BD5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6"/>
      <color rgb="FFFF0000"/>
      <name val="Arial"/>
      <family val="2"/>
    </font>
    <font>
      <sz val="16"/>
      <name val="Arial"/>
      <family val="2"/>
    </font>
    <font>
      <sz val="10"/>
      <color rgb="FFFF0000"/>
      <name val="Arial"/>
      <family val="2"/>
    </font>
    <font>
      <sz val="14"/>
      <color rgb="FFFF0000"/>
      <name val="Arial"/>
      <family val="2"/>
    </font>
    <font>
      <sz val="10"/>
      <color rgb="FF000080"/>
      <name val="Arial"/>
      <family val="2"/>
    </font>
    <font>
      <b/>
      <sz val="18"/>
      <color rgb="FFFF0000"/>
      <name val="Arial"/>
      <family val="2"/>
    </font>
    <font>
      <b/>
      <sz val="14"/>
      <color rgb="FF000000"/>
      <name val="Arial"/>
      <family val="2"/>
    </font>
    <font>
      <sz val="14"/>
      <color rgb="FF000080"/>
      <name val="Arial"/>
      <family val="2"/>
    </font>
    <font>
      <b/>
      <sz val="16"/>
      <color rgb="FF000000"/>
      <name val="Arial"/>
      <family val="2"/>
    </font>
    <font>
      <b/>
      <sz val="12"/>
      <color rgb="FF000000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Arial"/>
      <family val="2"/>
    </font>
    <font>
      <b/>
      <sz val="11"/>
      <color rgb="FF4473C4"/>
      <name val="Arial"/>
      <family val="2"/>
    </font>
    <font>
      <sz val="10"/>
      <color rgb="FF000000"/>
      <name val="Arial"/>
      <family val="2"/>
    </font>
    <font>
      <b/>
      <sz val="18"/>
      <color rgb="FF000000"/>
      <name val="Calibri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10"/>
      <color rgb="FFFFFFFF"/>
      <name val="Arial"/>
      <family val="2"/>
    </font>
    <font>
      <sz val="12"/>
      <color rgb="FFFF0000"/>
      <name val="Calibri"/>
      <family val="2"/>
    </font>
    <font>
      <b/>
      <sz val="16"/>
      <color rgb="FFFFBF00"/>
      <name val="Arial"/>
      <family val="2"/>
    </font>
    <font>
      <sz val="10"/>
      <color rgb="FFCCFFFF"/>
      <name val="Arial"/>
      <family val="2"/>
    </font>
    <font>
      <b/>
      <sz val="14"/>
      <color rgb="FFFFBF00"/>
      <name val="Arial"/>
      <family val="2"/>
    </font>
    <font>
      <b/>
      <sz val="14"/>
      <color rgb="FF5C9BD5"/>
      <name val="Arial"/>
      <family val="2"/>
    </font>
    <font>
      <b/>
      <sz val="16"/>
      <color rgb="FF333399"/>
      <name val="Arial"/>
      <family val="2"/>
    </font>
    <font>
      <sz val="10"/>
      <color rgb="FF333399"/>
      <name val="Arial"/>
      <family val="2"/>
    </font>
    <font>
      <sz val="16"/>
      <color rgb="FF333399"/>
      <name val="Arial"/>
      <family val="2"/>
    </font>
    <font>
      <sz val="10"/>
      <color rgb="FF4473C4"/>
      <name val="Arial"/>
      <family val="2"/>
    </font>
    <font>
      <b/>
      <sz val="10"/>
      <color theme="0"/>
      <name val="Arial"/>
      <family val="2"/>
    </font>
    <font>
      <sz val="11"/>
      <color theme="0"/>
      <name val="Calibri"/>
      <family val="2"/>
    </font>
    <font>
      <sz val="10"/>
      <color theme="0"/>
      <name val="Calibri"/>
      <family val="2"/>
    </font>
    <font>
      <sz val="12"/>
      <name val="Calibri"/>
      <family val="2"/>
    </font>
    <font>
      <b/>
      <sz val="14"/>
      <color theme="0"/>
      <name val="Arial"/>
      <family val="2"/>
    </font>
    <font>
      <b/>
      <sz val="11"/>
      <color rgb="FF002060"/>
      <name val="Arial"/>
      <family val="2"/>
    </font>
    <font>
      <sz val="11"/>
      <color rgb="FF002060"/>
      <name val="Calibri"/>
      <family val="2"/>
    </font>
    <font>
      <b/>
      <sz val="11"/>
      <color rgb="FF002060"/>
      <name val="Calibri"/>
      <family val="2"/>
    </font>
    <font>
      <b/>
      <sz val="12"/>
      <color rgb="FF002060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12"/>
      <color rgb="FFFF0000"/>
      <name val="Arial"/>
      <family val="2"/>
    </font>
    <font>
      <b/>
      <sz val="12"/>
      <color rgb="FFFFFF00"/>
      <name val="Arial"/>
      <family val="2"/>
    </font>
    <font>
      <b/>
      <sz val="12"/>
      <color rgb="FFFFFF00"/>
      <name val="Calibri"/>
      <family val="2"/>
    </font>
    <font>
      <b/>
      <sz val="12"/>
      <color rgb="FF000000"/>
      <name val="Calibri"/>
      <family val="2"/>
    </font>
    <font>
      <b/>
      <sz val="14"/>
      <color theme="1"/>
      <name val="Arial"/>
      <family val="2"/>
    </font>
    <font>
      <b/>
      <sz val="9"/>
      <color theme="0"/>
      <name val="Arial"/>
      <family val="2"/>
    </font>
    <font>
      <b/>
      <sz val="9"/>
      <color rgb="FFFFFF00"/>
      <name val="Arial"/>
      <family val="2"/>
    </font>
    <font>
      <sz val="14"/>
      <color rgb="FF000000"/>
      <name val="Calibri"/>
      <family val="2"/>
      <scheme val="minor"/>
    </font>
    <font>
      <sz val="16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4"/>
      <color rgb="FFFFFF0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D5DCE4"/>
        <bgColor rgb="FFD5DCE4"/>
      </patternFill>
    </fill>
    <fill>
      <patternFill patternType="solid">
        <fgColor rgb="FFFFFFFF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D5DCE4"/>
      </patternFill>
    </fill>
    <fill>
      <patternFill patternType="solid">
        <fgColor theme="5" tint="-0.249977111117893"/>
        <bgColor rgb="FFD5DCE4"/>
      </patternFill>
    </fill>
    <fill>
      <patternFill patternType="solid">
        <fgColor rgb="FFFFC000"/>
        <bgColor rgb="FFD5DCE4"/>
      </patternFill>
    </fill>
    <fill>
      <patternFill patternType="solid">
        <fgColor theme="3"/>
        <bgColor rgb="FFD5DCE4"/>
      </patternFill>
    </fill>
    <fill>
      <patternFill patternType="solid">
        <fgColor rgb="FF002060"/>
        <bgColor rgb="FFD5DCE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rgb="FFD5DCE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rgb="FFD5DCE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rgb="FFD5DCE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</fills>
  <borders count="8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04">
    <xf numFmtId="0" fontId="0" fillId="0" borderId="0" xfId="0" applyFont="1" applyAlignment="1">
      <alignment vertical="center"/>
    </xf>
    <xf numFmtId="164" fontId="3" fillId="0" borderId="4" xfId="0" applyNumberFormat="1" applyFont="1" applyBorder="1" applyAlignment="1">
      <alignment horizontal="center"/>
    </xf>
    <xf numFmtId="0" fontId="4" fillId="0" borderId="0" xfId="0" applyFont="1" applyAlignment="1"/>
    <xf numFmtId="0" fontId="2" fillId="0" borderId="0" xfId="0" applyFont="1" applyAlignment="1">
      <alignment vertical="center"/>
    </xf>
    <xf numFmtId="165" fontId="5" fillId="0" borderId="4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6" fontId="5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3" fontId="7" fillId="0" borderId="0" xfId="0" applyNumberFormat="1" applyFont="1" applyAlignment="1">
      <alignment horizontal="center"/>
    </xf>
    <xf numFmtId="164" fontId="9" fillId="0" borderId="0" xfId="0" applyNumberFormat="1" applyFont="1" applyAlignment="1"/>
    <xf numFmtId="0" fontId="6" fillId="0" borderId="7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13" fillId="0" borderId="4" xfId="0" applyFont="1" applyBorder="1" applyAlignment="1">
      <alignment horizontal="center"/>
    </xf>
    <xf numFmtId="166" fontId="9" fillId="0" borderId="4" xfId="0" applyNumberFormat="1" applyFont="1" applyBorder="1" applyAlignment="1">
      <alignment horizontal="center"/>
    </xf>
    <xf numFmtId="0" fontId="13" fillId="0" borderId="4" xfId="0" applyFont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6" fillId="2" borderId="4" xfId="0" applyFont="1" applyFill="1" applyBorder="1" applyAlignment="1"/>
    <xf numFmtId="0" fontId="16" fillId="2" borderId="4" xfId="0" applyFont="1" applyFill="1" applyBorder="1" applyAlignment="1">
      <alignment horizontal="center"/>
    </xf>
    <xf numFmtId="166" fontId="16" fillId="2" borderId="4" xfId="0" applyNumberFormat="1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4" fillId="0" borderId="4" xfId="0" applyFont="1" applyBorder="1" applyAlignment="1"/>
    <xf numFmtId="0" fontId="13" fillId="0" borderId="1" xfId="0" applyFont="1" applyBorder="1" applyAlignment="1">
      <alignment horizontal="center"/>
    </xf>
    <xf numFmtId="0" fontId="13" fillId="0" borderId="12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2" xfId="0" applyFont="1" applyBorder="1" applyAlignment="1">
      <alignment horizontal="center"/>
    </xf>
    <xf numFmtId="167" fontId="13" fillId="0" borderId="4" xfId="0" applyNumberFormat="1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1" fontId="4" fillId="0" borderId="0" xfId="0" applyNumberFormat="1" applyFont="1" applyAlignment="1"/>
    <xf numFmtId="12" fontId="13" fillId="0" borderId="4" xfId="0" applyNumberFormat="1" applyFont="1" applyBorder="1" applyAlignment="1">
      <alignment horizontal="center"/>
    </xf>
    <xf numFmtId="0" fontId="1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6" fontId="4" fillId="0" borderId="0" xfId="0" applyNumberFormat="1" applyFont="1" applyAlignment="1">
      <alignment horizontal="center"/>
    </xf>
    <xf numFmtId="164" fontId="4" fillId="0" borderId="0" xfId="0" applyNumberFormat="1" applyFont="1" applyAlignment="1"/>
    <xf numFmtId="166" fontId="7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/>
    </xf>
    <xf numFmtId="166" fontId="18" fillId="0" borderId="4" xfId="0" applyNumberFormat="1" applyFont="1" applyBorder="1" applyAlignment="1">
      <alignment horizontal="center"/>
    </xf>
    <xf numFmtId="0" fontId="18" fillId="0" borderId="4" xfId="0" applyFont="1" applyBorder="1" applyAlignment="1">
      <alignment horizontal="center"/>
    </xf>
    <xf numFmtId="164" fontId="7" fillId="0" borderId="0" xfId="0" applyNumberFormat="1" applyFont="1" applyAlignment="1">
      <alignment horizontal="center"/>
    </xf>
    <xf numFmtId="0" fontId="13" fillId="0" borderId="7" xfId="0" applyFont="1" applyBorder="1" applyAlignment="1">
      <alignment horizontal="center" vertical="center" wrapText="1"/>
    </xf>
    <xf numFmtId="0" fontId="11" fillId="3" borderId="4" xfId="0" applyFont="1" applyFill="1" applyBorder="1" applyAlignment="1">
      <alignment horizontal="center"/>
    </xf>
    <xf numFmtId="0" fontId="13" fillId="3" borderId="4" xfId="0" applyFont="1" applyFill="1" applyBorder="1" applyAlignment="1">
      <alignment horizontal="center"/>
    </xf>
    <xf numFmtId="166" fontId="9" fillId="3" borderId="4" xfId="0" applyNumberFormat="1" applyFont="1" applyFill="1" applyBorder="1" applyAlignment="1">
      <alignment horizontal="center"/>
    </xf>
    <xf numFmtId="0" fontId="13" fillId="3" borderId="4" xfId="0" applyFont="1" applyFill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/>
    </xf>
    <xf numFmtId="0" fontId="19" fillId="2" borderId="14" xfId="0" applyFont="1" applyFill="1" applyBorder="1" applyAlignment="1">
      <alignment vertical="center"/>
    </xf>
    <xf numFmtId="0" fontId="21" fillId="2" borderId="4" xfId="0" applyFont="1" applyFill="1" applyBorder="1" applyAlignment="1">
      <alignment horizontal="center" vertical="center"/>
    </xf>
    <xf numFmtId="0" fontId="19" fillId="2" borderId="4" xfId="0" applyFont="1" applyFill="1" applyBorder="1" applyAlignment="1"/>
    <xf numFmtId="0" fontId="19" fillId="2" borderId="4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vertical="center"/>
    </xf>
    <xf numFmtId="166" fontId="19" fillId="2" borderId="4" xfId="0" applyNumberFormat="1" applyFont="1" applyFill="1" applyBorder="1" applyAlignment="1">
      <alignment horizontal="center"/>
    </xf>
    <xf numFmtId="166" fontId="13" fillId="0" borderId="4" xfId="0" applyNumberFormat="1" applyFont="1" applyBorder="1" applyAlignment="1">
      <alignment horizontal="center"/>
    </xf>
    <xf numFmtId="166" fontId="22" fillId="0" borderId="0" xfId="0" applyNumberFormat="1" applyFont="1" applyAlignment="1"/>
    <xf numFmtId="0" fontId="8" fillId="0" borderId="0" xfId="0" applyFont="1" applyAlignment="1">
      <alignment horizontal="center"/>
    </xf>
    <xf numFmtId="166" fontId="4" fillId="0" borderId="0" xfId="0" applyNumberFormat="1" applyFont="1" applyAlignment="1"/>
    <xf numFmtId="165" fontId="5" fillId="0" borderId="4" xfId="0" applyNumberFormat="1" applyFont="1" applyBorder="1" applyAlignment="1"/>
    <xf numFmtId="1" fontId="3" fillId="0" borderId="4" xfId="0" applyNumberFormat="1" applyFont="1" applyBorder="1" applyAlignment="1">
      <alignment horizontal="center"/>
    </xf>
    <xf numFmtId="164" fontId="7" fillId="0" borderId="0" xfId="0" applyNumberFormat="1" applyFont="1" applyAlignment="1"/>
    <xf numFmtId="0" fontId="6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0" fontId="25" fillId="0" borderId="4" xfId="0" applyFont="1" applyBorder="1" applyAlignment="1">
      <alignment horizontal="center"/>
    </xf>
    <xf numFmtId="0" fontId="25" fillId="0" borderId="4" xfId="0" applyFont="1" applyBorder="1" applyAlignment="1">
      <alignment horizontal="center" vertical="center" shrinkToFit="1"/>
    </xf>
    <xf numFmtId="0" fontId="13" fillId="0" borderId="11" xfId="0" applyFont="1" applyBorder="1" applyAlignment="1">
      <alignment horizontal="center"/>
    </xf>
    <xf numFmtId="0" fontId="25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6" fillId="0" borderId="0" xfId="0" applyFont="1" applyAlignment="1"/>
    <xf numFmtId="0" fontId="27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 vertical="center" shrinkToFit="1"/>
    </xf>
    <xf numFmtId="0" fontId="29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0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28" fillId="0" borderId="0" xfId="0" applyFont="1" applyAlignment="1">
      <alignment horizontal="center"/>
    </xf>
    <xf numFmtId="0" fontId="26" fillId="0" borderId="0" xfId="0" applyFont="1" applyAlignment="1">
      <alignment horizontal="center"/>
    </xf>
    <xf numFmtId="166" fontId="26" fillId="0" borderId="0" xfId="0" applyNumberFormat="1" applyFont="1" applyAlignment="1"/>
    <xf numFmtId="166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166" fontId="27" fillId="0" borderId="0" xfId="0" applyNumberFormat="1" applyFont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27" fillId="0" borderId="4" xfId="0" applyNumberFormat="1" applyFont="1" applyBorder="1" applyAlignment="1">
      <alignment horizontal="center"/>
    </xf>
    <xf numFmtId="1" fontId="18" fillId="0" borderId="4" xfId="0" applyNumberFormat="1" applyFont="1" applyBorder="1" applyAlignment="1">
      <alignment horizontal="center"/>
    </xf>
    <xf numFmtId="0" fontId="27" fillId="0" borderId="0" xfId="0" applyFont="1" applyAlignment="1">
      <alignment horizontal="center"/>
    </xf>
    <xf numFmtId="0" fontId="13" fillId="0" borderId="4" xfId="0" applyFont="1" applyBorder="1" applyAlignment="1">
      <alignment horizontal="center" vertical="center" shrinkToFit="1"/>
    </xf>
    <xf numFmtId="0" fontId="9" fillId="0" borderId="4" xfId="0" applyFont="1" applyBorder="1" applyAlignment="1">
      <alignment horizontal="center"/>
    </xf>
    <xf numFmtId="164" fontId="26" fillId="0" borderId="4" xfId="0" applyNumberFormat="1" applyFont="1" applyBorder="1" applyAlignment="1"/>
    <xf numFmtId="164" fontId="26" fillId="0" borderId="0" xfId="0" applyNumberFormat="1" applyFont="1" applyAlignment="1"/>
    <xf numFmtId="0" fontId="16" fillId="2" borderId="4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vertical="center"/>
    </xf>
    <xf numFmtId="166" fontId="26" fillId="0" borderId="0" xfId="0" applyNumberFormat="1" applyFont="1" applyAlignment="1">
      <alignment horizontal="center"/>
    </xf>
    <xf numFmtId="0" fontId="31" fillId="0" borderId="0" xfId="0" applyFont="1" applyAlignment="1"/>
    <xf numFmtId="164" fontId="27" fillId="0" borderId="4" xfId="0" applyNumberFormat="1" applyFont="1" applyBorder="1" applyAlignment="1">
      <alignment horizontal="center"/>
    </xf>
    <xf numFmtId="0" fontId="34" fillId="0" borderId="0" xfId="0" applyFont="1" applyAlignment="1"/>
    <xf numFmtId="0" fontId="35" fillId="0" borderId="3" xfId="0" applyFont="1" applyBorder="1" applyAlignment="1">
      <alignment horizontal="center" vertical="center" shrinkToFit="1"/>
    </xf>
    <xf numFmtId="0" fontId="33" fillId="0" borderId="4" xfId="0" applyFont="1" applyBorder="1" applyAlignment="1">
      <alignment horizontal="center" vertical="center" shrinkToFit="1"/>
    </xf>
    <xf numFmtId="0" fontId="36" fillId="0" borderId="4" xfId="0" applyFont="1" applyBorder="1" applyAlignment="1">
      <alignment horizontal="center"/>
    </xf>
    <xf numFmtId="0" fontId="37" fillId="0" borderId="4" xfId="0" applyFont="1" applyBorder="1" applyAlignment="1">
      <alignment horizontal="center" vertical="center" wrapText="1"/>
    </xf>
    <xf numFmtId="0" fontId="38" fillId="0" borderId="4" xfId="0" applyFont="1" applyBorder="1" applyAlignment="1">
      <alignment horizontal="center"/>
    </xf>
    <xf numFmtId="166" fontId="29" fillId="0" borderId="4" xfId="0" applyNumberFormat="1" applyFont="1" applyBorder="1" applyAlignment="1">
      <alignment horizontal="center"/>
    </xf>
    <xf numFmtId="164" fontId="31" fillId="0" borderId="0" xfId="0" applyNumberFormat="1" applyFont="1" applyAlignment="1"/>
    <xf numFmtId="0" fontId="36" fillId="0" borderId="24" xfId="0" applyFont="1" applyBorder="1" applyAlignment="1">
      <alignment horizontal="center"/>
    </xf>
    <xf numFmtId="0" fontId="38" fillId="0" borderId="1" xfId="0" applyFont="1" applyBorder="1" applyAlignment="1">
      <alignment horizontal="center"/>
    </xf>
    <xf numFmtId="0" fontId="36" fillId="0" borderId="24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0" borderId="3" xfId="0" applyFont="1" applyBorder="1" applyAlignment="1">
      <alignment horizontal="center"/>
    </xf>
    <xf numFmtId="0" fontId="31" fillId="0" borderId="0" xfId="0" applyFont="1" applyAlignment="1">
      <alignment horizontal="center"/>
    </xf>
    <xf numFmtId="166" fontId="31" fillId="0" borderId="0" xfId="0" applyNumberFormat="1" applyFont="1" applyAlignment="1">
      <alignment vertical="center" wrapText="1"/>
    </xf>
    <xf numFmtId="0" fontId="7" fillId="0" borderId="0" xfId="0" applyFont="1" applyAlignment="1">
      <alignment horizontal="center"/>
    </xf>
    <xf numFmtId="164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7" fillId="0" borderId="4" xfId="0" applyFont="1" applyBorder="1" applyAlignment="1">
      <alignment horizontal="center"/>
    </xf>
    <xf numFmtId="166" fontId="7" fillId="0" borderId="0" xfId="0" applyNumberFormat="1" applyFont="1" applyAlignment="1"/>
    <xf numFmtId="168" fontId="27" fillId="0" borderId="4" xfId="0" applyNumberFormat="1" applyFont="1" applyBorder="1" applyAlignment="1">
      <alignment horizontal="center"/>
    </xf>
    <xf numFmtId="166" fontId="18" fillId="0" borderId="4" xfId="0" applyNumberFormat="1" applyFont="1" applyBorder="1" applyAlignment="1">
      <alignment horizontal="center"/>
    </xf>
    <xf numFmtId="166" fontId="40" fillId="0" borderId="0" xfId="0" applyNumberFormat="1" applyFont="1" applyAlignment="1">
      <alignment vertical="center" wrapText="1"/>
    </xf>
    <xf numFmtId="166" fontId="29" fillId="0" borderId="0" xfId="0" applyNumberFormat="1" applyFont="1" applyAlignment="1">
      <alignment horizontal="center"/>
    </xf>
    <xf numFmtId="0" fontId="41" fillId="0" borderId="1" xfId="0" applyFont="1" applyBorder="1" applyAlignment="1"/>
    <xf numFmtId="0" fontId="41" fillId="0" borderId="3" xfId="0" applyFont="1" applyBorder="1" applyAlignment="1"/>
    <xf numFmtId="165" fontId="7" fillId="0" borderId="4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" fontId="5" fillId="0" borderId="4" xfId="0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166" fontId="29" fillId="0" borderId="4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/>
    </xf>
    <xf numFmtId="164" fontId="4" fillId="0" borderId="3" xfId="0" applyNumberFormat="1" applyFont="1" applyBorder="1" applyAlignment="1"/>
    <xf numFmtId="0" fontId="13" fillId="0" borderId="4" xfId="0" applyFont="1" applyBorder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2" fontId="13" fillId="0" borderId="0" xfId="0" applyNumberFormat="1" applyFont="1" applyAlignment="1">
      <alignment vertical="center" wrapText="1"/>
    </xf>
    <xf numFmtId="166" fontId="16" fillId="2" borderId="4" xfId="0" applyNumberFormat="1" applyFont="1" applyFill="1" applyBorder="1" applyAlignment="1">
      <alignment horizontal="center" vertical="center" wrapText="1"/>
    </xf>
    <xf numFmtId="166" fontId="16" fillId="2" borderId="29" xfId="0" applyNumberFormat="1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/>
    <xf numFmtId="0" fontId="44" fillId="0" borderId="0" xfId="0" applyFont="1" applyAlignment="1"/>
    <xf numFmtId="166" fontId="44" fillId="0" borderId="0" xfId="0" applyNumberFormat="1" applyFont="1" applyAlignment="1"/>
    <xf numFmtId="0" fontId="41" fillId="0" borderId="2" xfId="0" applyFont="1" applyBorder="1" applyAlignment="1"/>
    <xf numFmtId="0" fontId="4" fillId="0" borderId="2" xfId="0" applyFont="1" applyBorder="1" applyAlignment="1"/>
    <xf numFmtId="165" fontId="3" fillId="0" borderId="4" xfId="0" applyNumberFormat="1" applyFont="1" applyBorder="1" applyAlignment="1">
      <alignment horizontal="center"/>
    </xf>
    <xf numFmtId="166" fontId="45" fillId="3" borderId="4" xfId="0" applyNumberFormat="1" applyFont="1" applyFill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/>
    </xf>
    <xf numFmtId="0" fontId="45" fillId="3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6" fontId="26" fillId="0" borderId="0" xfId="0" applyNumberFormat="1" applyFont="1" applyAlignment="1">
      <alignment vertical="center" wrapText="1"/>
    </xf>
    <xf numFmtId="0" fontId="26" fillId="0" borderId="0" xfId="0" applyFont="1" applyAlignment="1">
      <alignment vertical="center" wrapText="1"/>
    </xf>
    <xf numFmtId="0" fontId="4" fillId="0" borderId="15" xfId="0" applyFont="1" applyBorder="1" applyAlignment="1"/>
    <xf numFmtId="166" fontId="6" fillId="0" borderId="4" xfId="0" applyNumberFormat="1" applyFont="1" applyBorder="1" applyAlignment="1">
      <alignment horizontal="center"/>
    </xf>
    <xf numFmtId="166" fontId="46" fillId="0" borderId="4" xfId="0" applyNumberFormat="1" applyFont="1" applyBorder="1" applyAlignment="1">
      <alignment horizontal="center"/>
    </xf>
    <xf numFmtId="0" fontId="13" fillId="0" borderId="4" xfId="0" applyFont="1" applyBorder="1" applyAlignment="1">
      <alignment horizontal="left" vertical="center"/>
    </xf>
    <xf numFmtId="0" fontId="13" fillId="0" borderId="3" xfId="0" applyFont="1" applyBorder="1" applyAlignment="1">
      <alignment vertical="center"/>
    </xf>
    <xf numFmtId="166" fontId="16" fillId="0" borderId="4" xfId="0" applyNumberFormat="1" applyFont="1" applyBorder="1" applyAlignment="1">
      <alignment vertical="center" wrapText="1"/>
    </xf>
    <xf numFmtId="0" fontId="16" fillId="0" borderId="4" xfId="0" applyFont="1" applyBorder="1" applyAlignment="1">
      <alignment horizontal="center"/>
    </xf>
    <xf numFmtId="166" fontId="16" fillId="0" borderId="11" xfId="0" applyNumberFormat="1" applyFont="1" applyBorder="1" applyAlignment="1">
      <alignment vertical="center" wrapText="1"/>
    </xf>
    <xf numFmtId="166" fontId="27" fillId="0" borderId="0" xfId="0" applyNumberFormat="1" applyFont="1" applyAlignment="1"/>
    <xf numFmtId="166" fontId="16" fillId="0" borderId="4" xfId="0" applyNumberFormat="1" applyFont="1" applyBorder="1" applyAlignment="1">
      <alignment horizontal="center" vertical="center" wrapText="1"/>
    </xf>
    <xf numFmtId="166" fontId="16" fillId="0" borderId="11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166" fontId="16" fillId="0" borderId="4" xfId="0" applyNumberFormat="1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0" fontId="13" fillId="0" borderId="1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166" fontId="48" fillId="0" borderId="4" xfId="0" applyNumberFormat="1" applyFont="1" applyBorder="1" applyAlignment="1">
      <alignment horizontal="center"/>
    </xf>
    <xf numFmtId="0" fontId="16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vertical="center"/>
    </xf>
    <xf numFmtId="0" fontId="13" fillId="0" borderId="11" xfId="0" applyFont="1" applyBorder="1" applyAlignment="1">
      <alignment vertical="center"/>
    </xf>
    <xf numFmtId="0" fontId="36" fillId="0" borderId="24" xfId="0" applyFont="1" applyBorder="1" applyAlignment="1">
      <alignment horizontal="center" vertical="center" shrinkToFit="1"/>
    </xf>
    <xf numFmtId="0" fontId="2" fillId="0" borderId="4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0" fontId="6" fillId="0" borderId="1" xfId="0" applyFont="1" applyBorder="1" applyAlignment="1"/>
    <xf numFmtId="0" fontId="6" fillId="0" borderId="2" xfId="0" applyFont="1" applyBorder="1" applyAlignment="1"/>
    <xf numFmtId="0" fontId="8" fillId="0" borderId="24" xfId="0" applyFont="1" applyBorder="1" applyAlignment="1">
      <alignment horizontal="center" vertical="center" shrinkToFit="1"/>
    </xf>
    <xf numFmtId="0" fontId="8" fillId="0" borderId="2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13" fillId="0" borderId="4" xfId="0" applyFont="1" applyBorder="1" applyAlignment="1"/>
    <xf numFmtId="166" fontId="24" fillId="0" borderId="4" xfId="0" applyNumberFormat="1" applyFont="1" applyBorder="1" applyAlignment="1">
      <alignment horizontal="center"/>
    </xf>
    <xf numFmtId="0" fontId="13" fillId="0" borderId="11" xfId="0" applyFont="1" applyBorder="1" applyAlignment="1"/>
    <xf numFmtId="0" fontId="8" fillId="0" borderId="24" xfId="0" applyFont="1" applyBorder="1" applyAlignment="1">
      <alignment horizontal="center" vertical="center" wrapText="1"/>
    </xf>
    <xf numFmtId="0" fontId="50" fillId="0" borderId="0" xfId="0" applyFont="1" applyAlignment="1">
      <alignment horizontal="center"/>
    </xf>
    <xf numFmtId="0" fontId="51" fillId="0" borderId="0" xfId="0" applyFont="1" applyAlignment="1">
      <alignment horizontal="center"/>
    </xf>
    <xf numFmtId="0" fontId="52" fillId="0" borderId="0" xfId="0" applyFont="1" applyAlignment="1"/>
    <xf numFmtId="0" fontId="51" fillId="0" borderId="0" xfId="0" applyFont="1" applyAlignment="1"/>
    <xf numFmtId="166" fontId="51" fillId="0" borderId="0" xfId="0" applyNumberFormat="1" applyFont="1" applyAlignment="1"/>
    <xf numFmtId="166" fontId="46" fillId="3" borderId="4" xfId="0" applyNumberFormat="1" applyFont="1" applyFill="1" applyBorder="1" applyAlignment="1">
      <alignment horizontal="center"/>
    </xf>
    <xf numFmtId="0" fontId="8" fillId="0" borderId="11" xfId="0" applyFont="1" applyBorder="1" applyAlignment="1">
      <alignment horizontal="center" vertical="center" wrapText="1"/>
    </xf>
    <xf numFmtId="0" fontId="8" fillId="3" borderId="38" xfId="0" applyFont="1" applyFill="1" applyBorder="1" applyAlignment="1"/>
    <xf numFmtId="0" fontId="8" fillId="3" borderId="39" xfId="0" applyFont="1" applyFill="1" applyBorder="1" applyAlignment="1"/>
    <xf numFmtId="0" fontId="4" fillId="3" borderId="40" xfId="0" applyFont="1" applyFill="1" applyBorder="1" applyAlignment="1"/>
    <xf numFmtId="166" fontId="7" fillId="3" borderId="40" xfId="0" applyNumberFormat="1" applyFont="1" applyFill="1" applyBorder="1" applyAlignment="1"/>
    <xf numFmtId="166" fontId="4" fillId="3" borderId="40" xfId="0" applyNumberFormat="1" applyFont="1" applyFill="1" applyBorder="1" applyAlignment="1"/>
    <xf numFmtId="166" fontId="48" fillId="3" borderId="4" xfId="0" applyNumberFormat="1" applyFont="1" applyFill="1" applyBorder="1" applyAlignment="1">
      <alignment horizontal="center"/>
    </xf>
    <xf numFmtId="0" fontId="6" fillId="0" borderId="20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13" fillId="3" borderId="41" xfId="0" applyFont="1" applyFill="1" applyBorder="1" applyAlignment="1">
      <alignment vertical="center" textRotation="255" wrapText="1"/>
    </xf>
    <xf numFmtId="0" fontId="13" fillId="3" borderId="42" xfId="0" applyFont="1" applyFill="1" applyBorder="1" applyAlignment="1">
      <alignment vertical="center" textRotation="255" wrapText="1"/>
    </xf>
    <xf numFmtId="0" fontId="12" fillId="0" borderId="4" xfId="0" applyFont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 wrapText="1"/>
    </xf>
    <xf numFmtId="0" fontId="26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 wrapText="1"/>
    </xf>
    <xf numFmtId="2" fontId="24" fillId="0" borderId="4" xfId="0" applyNumberFormat="1" applyFont="1" applyBorder="1" applyAlignment="1">
      <alignment horizontal="center"/>
    </xf>
    <xf numFmtId="0" fontId="53" fillId="0" borderId="4" xfId="0" applyFont="1" applyBorder="1" applyAlignment="1">
      <alignment horizontal="center"/>
    </xf>
    <xf numFmtId="0" fontId="12" fillId="0" borderId="24" xfId="0" applyFont="1" applyBorder="1" applyAlignment="1">
      <alignment horizontal="center"/>
    </xf>
    <xf numFmtId="166" fontId="4" fillId="3" borderId="40" xfId="0" applyNumberFormat="1" applyFont="1" applyFill="1" applyBorder="1" applyAlignment="1">
      <alignment horizontal="center"/>
    </xf>
    <xf numFmtId="0" fontId="4" fillId="3" borderId="40" xfId="0" applyFont="1" applyFill="1" applyBorder="1" applyAlignment="1">
      <alignment horizontal="center"/>
    </xf>
    <xf numFmtId="166" fontId="7" fillId="3" borderId="40" xfId="0" applyNumberFormat="1" applyFont="1" applyFill="1" applyBorder="1" applyAlignment="1">
      <alignment horizontal="center"/>
    </xf>
    <xf numFmtId="0" fontId="13" fillId="0" borderId="0" xfId="0" applyFont="1" applyAlignment="1">
      <alignment horizontal="center" vertical="center"/>
    </xf>
    <xf numFmtId="166" fontId="9" fillId="0" borderId="0" xfId="0" applyNumberFormat="1" applyFont="1" applyAlignment="1">
      <alignment horizont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0" borderId="4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/>
    </xf>
    <xf numFmtId="0" fontId="13" fillId="0" borderId="10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0" fontId="4" fillId="0" borderId="24" xfId="0" applyFont="1" applyBorder="1" applyAlignment="1"/>
    <xf numFmtId="0" fontId="4" fillId="0" borderId="44" xfId="0" applyFont="1" applyBorder="1" applyAlignment="1"/>
    <xf numFmtId="164" fontId="4" fillId="0" borderId="4" xfId="0" applyNumberFormat="1" applyFont="1" applyBorder="1" applyAlignment="1"/>
    <xf numFmtId="164" fontId="26" fillId="0" borderId="44" xfId="0" applyNumberFormat="1" applyFont="1" applyBorder="1" applyAlignment="1"/>
    <xf numFmtId="164" fontId="26" fillId="0" borderId="44" xfId="0" applyNumberFormat="1" applyFont="1" applyBorder="1" applyAlignment="1">
      <alignment vertical="center"/>
    </xf>
    <xf numFmtId="169" fontId="26" fillId="0" borderId="44" xfId="0" applyNumberFormat="1" applyFont="1" applyBorder="1" applyAlignment="1">
      <alignment horizontal="center" vertical="center"/>
    </xf>
    <xf numFmtId="0" fontId="4" fillId="0" borderId="45" xfId="0" applyFont="1" applyBorder="1" applyAlignment="1"/>
    <xf numFmtId="0" fontId="4" fillId="0" borderId="46" xfId="0" applyFont="1" applyBorder="1" applyAlignment="1"/>
    <xf numFmtId="0" fontId="26" fillId="0" borderId="47" xfId="0" applyFont="1" applyBorder="1" applyAlignment="1">
      <alignment horizontal="center" vertical="center"/>
    </xf>
    <xf numFmtId="164" fontId="4" fillId="0" borderId="46" xfId="0" applyNumberFormat="1" applyFont="1" applyBorder="1" applyAlignment="1"/>
    <xf numFmtId="0" fontId="4" fillId="0" borderId="48" xfId="0" applyFont="1" applyBorder="1" applyAlignment="1"/>
    <xf numFmtId="0" fontId="4" fillId="0" borderId="49" xfId="0" applyFont="1" applyBorder="1" applyAlignment="1"/>
    <xf numFmtId="0" fontId="4" fillId="0" borderId="50" xfId="0" applyFont="1" applyBorder="1" applyAlignment="1"/>
    <xf numFmtId="0" fontId="4" fillId="0" borderId="51" xfId="0" applyFont="1" applyBorder="1" applyAlignment="1"/>
    <xf numFmtId="164" fontId="26" fillId="0" borderId="47" xfId="0" applyNumberFormat="1" applyFont="1" applyBorder="1" applyAlignment="1"/>
    <xf numFmtId="0" fontId="26" fillId="0" borderId="44" xfId="0" applyFont="1" applyBorder="1" applyAlignment="1"/>
    <xf numFmtId="0" fontId="26" fillId="0" borderId="44" xfId="0" applyFont="1" applyBorder="1" applyAlignment="1">
      <alignment vertical="center"/>
    </xf>
    <xf numFmtId="0" fontId="26" fillId="0" borderId="48" xfId="0" applyFont="1" applyBorder="1" applyAlignment="1"/>
    <xf numFmtId="0" fontId="26" fillId="0" borderId="47" xfId="0" applyFont="1" applyBorder="1" applyAlignment="1"/>
    <xf numFmtId="0" fontId="26" fillId="0" borderId="4" xfId="0" applyFont="1" applyBorder="1" applyAlignment="1"/>
    <xf numFmtId="0" fontId="4" fillId="0" borderId="21" xfId="0" applyFont="1" applyBorder="1" applyAlignment="1"/>
    <xf numFmtId="0" fontId="4" fillId="0" borderId="7" xfId="0" applyFont="1" applyBorder="1" applyAlignment="1"/>
    <xf numFmtId="0" fontId="4" fillId="0" borderId="47" xfId="0" applyFont="1" applyBorder="1" applyAlignment="1"/>
    <xf numFmtId="167" fontId="4" fillId="0" borderId="4" xfId="0" applyNumberFormat="1" applyFont="1" applyBorder="1" applyAlignment="1"/>
    <xf numFmtId="164" fontId="26" fillId="0" borderId="52" xfId="0" applyNumberFormat="1" applyFont="1" applyBorder="1" applyAlignment="1"/>
    <xf numFmtId="164" fontId="26" fillId="0" borderId="48" xfId="0" applyNumberFormat="1" applyFont="1" applyBorder="1" applyAlignment="1"/>
    <xf numFmtId="0" fontId="13" fillId="8" borderId="4" xfId="0" applyFont="1" applyFill="1" applyBorder="1" applyAlignment="1">
      <alignment horizontal="center"/>
    </xf>
    <xf numFmtId="0" fontId="13" fillId="5" borderId="4" xfId="0" applyFont="1" applyFill="1" applyBorder="1" applyAlignment="1">
      <alignment horizontal="center"/>
    </xf>
    <xf numFmtId="0" fontId="54" fillId="13" borderId="4" xfId="0" applyFont="1" applyFill="1" applyBorder="1" applyAlignment="1">
      <alignment horizontal="center" vertical="center"/>
    </xf>
    <xf numFmtId="0" fontId="54" fillId="14" borderId="4" xfId="0" applyFont="1" applyFill="1" applyBorder="1" applyAlignment="1">
      <alignment horizontal="center" vertical="center"/>
    </xf>
    <xf numFmtId="0" fontId="54" fillId="15" borderId="4" xfId="0" applyFont="1" applyFill="1" applyBorder="1" applyAlignment="1">
      <alignment horizontal="center" vertical="center"/>
    </xf>
    <xf numFmtId="0" fontId="16" fillId="18" borderId="4" xfId="0" applyFont="1" applyFill="1" applyBorder="1" applyAlignment="1">
      <alignment horizontal="center"/>
    </xf>
    <xf numFmtId="166" fontId="16" fillId="20" borderId="4" xfId="0" applyNumberFormat="1" applyFont="1" applyFill="1" applyBorder="1" applyAlignment="1">
      <alignment horizontal="center"/>
    </xf>
    <xf numFmtId="0" fontId="16" fillId="18" borderId="4" xfId="0" applyFont="1" applyFill="1" applyBorder="1" applyAlignment="1">
      <alignment vertical="center"/>
    </xf>
    <xf numFmtId="0" fontId="16" fillId="18" borderId="4" xfId="0" applyFont="1" applyFill="1" applyBorder="1" applyAlignment="1">
      <alignment horizontal="center" vertical="center"/>
    </xf>
    <xf numFmtId="0" fontId="4" fillId="0" borderId="40" xfId="0" applyFont="1" applyBorder="1" applyAlignment="1">
      <alignment horizontal="center"/>
    </xf>
    <xf numFmtId="166" fontId="7" fillId="0" borderId="40" xfId="0" applyNumberFormat="1" applyFont="1" applyBorder="1" applyAlignment="1">
      <alignment horizontal="center"/>
    </xf>
    <xf numFmtId="0" fontId="0" fillId="0" borderId="40" xfId="0" applyFont="1" applyBorder="1" applyAlignment="1">
      <alignment vertical="center"/>
    </xf>
    <xf numFmtId="165" fontId="5" fillId="19" borderId="40" xfId="0" applyNumberFormat="1" applyFont="1" applyFill="1" applyBorder="1" applyAlignment="1">
      <alignment horizontal="center"/>
    </xf>
    <xf numFmtId="0" fontId="4" fillId="19" borderId="40" xfId="0" applyFont="1" applyFill="1" applyBorder="1" applyAlignment="1"/>
    <xf numFmtId="0" fontId="0" fillId="19" borderId="40" xfId="0" applyFont="1" applyFill="1" applyBorder="1" applyAlignment="1">
      <alignment vertical="center"/>
    </xf>
    <xf numFmtId="0" fontId="13" fillId="19" borderId="40" xfId="0" applyFont="1" applyFill="1" applyBorder="1" applyAlignment="1">
      <alignment horizontal="center"/>
    </xf>
    <xf numFmtId="166" fontId="9" fillId="22" borderId="40" xfId="0" applyNumberFormat="1" applyFont="1" applyFill="1" applyBorder="1" applyAlignment="1">
      <alignment horizontal="center"/>
    </xf>
    <xf numFmtId="0" fontId="9" fillId="19" borderId="40" xfId="0" applyFont="1" applyFill="1" applyBorder="1" applyAlignment="1">
      <alignment horizontal="center"/>
    </xf>
    <xf numFmtId="166" fontId="9" fillId="19" borderId="40" xfId="0" applyNumberFormat="1" applyFont="1" applyFill="1" applyBorder="1" applyAlignment="1">
      <alignment horizontal="center"/>
    </xf>
    <xf numFmtId="164" fontId="4" fillId="19" borderId="40" xfId="0" applyNumberFormat="1" applyFont="1" applyFill="1" applyBorder="1" applyAlignment="1"/>
    <xf numFmtId="0" fontId="13" fillId="5" borderId="53" xfId="0" applyFont="1" applyFill="1" applyBorder="1" applyAlignment="1">
      <alignment horizontal="center"/>
    </xf>
    <xf numFmtId="0" fontId="13" fillId="8" borderId="53" xfId="0" applyFont="1" applyFill="1" applyBorder="1" applyAlignment="1">
      <alignment horizontal="center"/>
    </xf>
    <xf numFmtId="0" fontId="13" fillId="0" borderId="53" xfId="0" applyFont="1" applyBorder="1" applyAlignment="1">
      <alignment horizontal="center"/>
    </xf>
    <xf numFmtId="0" fontId="16" fillId="18" borderId="53" xfId="0" applyFont="1" applyFill="1" applyBorder="1" applyAlignment="1">
      <alignment horizontal="center"/>
    </xf>
    <xf numFmtId="0" fontId="0" fillId="0" borderId="56" xfId="0" applyFont="1" applyBorder="1" applyAlignment="1">
      <alignment vertical="center"/>
    </xf>
    <xf numFmtId="0" fontId="16" fillId="18" borderId="14" xfId="0" applyFont="1" applyFill="1" applyBorder="1" applyAlignment="1">
      <alignment horizontal="center" vertical="center"/>
    </xf>
    <xf numFmtId="0" fontId="13" fillId="0" borderId="67" xfId="0" applyFont="1" applyBorder="1" applyAlignment="1">
      <alignment horizontal="center"/>
    </xf>
    <xf numFmtId="166" fontId="16" fillId="20" borderId="68" xfId="0" applyNumberFormat="1" applyFont="1" applyFill="1" applyBorder="1" applyAlignment="1">
      <alignment horizontal="center"/>
    </xf>
    <xf numFmtId="0" fontId="13" fillId="0" borderId="71" xfId="0" applyFont="1" applyBorder="1" applyAlignment="1">
      <alignment horizontal="center"/>
    </xf>
    <xf numFmtId="0" fontId="13" fillId="0" borderId="54" xfId="0" applyFont="1" applyBorder="1" applyAlignment="1">
      <alignment horizontal="center"/>
    </xf>
    <xf numFmtId="166" fontId="62" fillId="4" borderId="4" xfId="0" applyNumberFormat="1" applyFont="1" applyFill="1" applyBorder="1" applyAlignment="1">
      <alignment horizontal="center"/>
    </xf>
    <xf numFmtId="0" fontId="45" fillId="19" borderId="40" xfId="0" applyFont="1" applyFill="1" applyBorder="1" applyAlignment="1">
      <alignment horizontal="center"/>
    </xf>
    <xf numFmtId="0" fontId="63" fillId="19" borderId="40" xfId="0" applyFont="1" applyFill="1" applyBorder="1" applyAlignment="1"/>
    <xf numFmtId="0" fontId="64" fillId="19" borderId="40" xfId="0" applyFont="1" applyFill="1" applyBorder="1" applyAlignment="1">
      <alignment vertical="center"/>
    </xf>
    <xf numFmtId="0" fontId="64" fillId="0" borderId="0" xfId="0" applyFont="1" applyAlignment="1">
      <alignment vertical="center"/>
    </xf>
    <xf numFmtId="0" fontId="65" fillId="19" borderId="40" xfId="0" applyFont="1" applyFill="1" applyBorder="1" applyAlignment="1">
      <alignment horizontal="center"/>
    </xf>
    <xf numFmtId="1" fontId="62" fillId="4" borderId="4" xfId="0" applyNumberFormat="1" applyFont="1" applyFill="1" applyBorder="1" applyAlignment="1">
      <alignment horizontal="center"/>
    </xf>
    <xf numFmtId="0" fontId="12" fillId="10" borderId="4" xfId="0" applyFont="1" applyFill="1" applyBorder="1" applyAlignment="1">
      <alignment horizontal="center" vertical="center" shrinkToFit="1"/>
    </xf>
    <xf numFmtId="0" fontId="12" fillId="10" borderId="53" xfId="0" applyFont="1" applyFill="1" applyBorder="1" applyAlignment="1">
      <alignment horizontal="center" vertical="center" wrapText="1"/>
    </xf>
    <xf numFmtId="0" fontId="68" fillId="22" borderId="40" xfId="0" applyFont="1" applyFill="1" applyBorder="1" applyAlignment="1">
      <alignment horizontal="center"/>
    </xf>
    <xf numFmtId="0" fontId="0" fillId="0" borderId="0" xfId="0" applyFont="1" applyAlignment="1">
      <alignment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13" fillId="19" borderId="40" xfId="0" applyFont="1" applyFill="1" applyBorder="1" applyAlignment="1">
      <alignment horizontal="center"/>
    </xf>
    <xf numFmtId="0" fontId="0" fillId="19" borderId="40" xfId="0" applyFont="1" applyFill="1" applyBorder="1" applyAlignment="1">
      <alignment vertical="center"/>
    </xf>
    <xf numFmtId="0" fontId="5" fillId="19" borderId="40" xfId="0" applyFont="1" applyFill="1" applyBorder="1" applyAlignment="1">
      <alignment horizontal="center"/>
    </xf>
    <xf numFmtId="0" fontId="26" fillId="19" borderId="40" xfId="0" applyFont="1" applyFill="1" applyBorder="1" applyAlignment="1"/>
    <xf numFmtId="0" fontId="27" fillId="19" borderId="40" xfId="0" applyFont="1" applyFill="1" applyBorder="1" applyAlignment="1">
      <alignment horizontal="center"/>
    </xf>
    <xf numFmtId="0" fontId="11" fillId="22" borderId="40" xfId="0" applyFont="1" applyFill="1" applyBorder="1" applyAlignment="1">
      <alignment horizontal="center"/>
    </xf>
    <xf numFmtId="0" fontId="29" fillId="19" borderId="40" xfId="0" applyFont="1" applyFill="1" applyBorder="1" applyAlignment="1">
      <alignment horizontal="center"/>
    </xf>
    <xf numFmtId="164" fontId="26" fillId="19" borderId="40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 vertical="center" shrinkToFit="1"/>
    </xf>
    <xf numFmtId="0" fontId="16" fillId="2" borderId="1" xfId="0" applyFont="1" applyFill="1" applyBorder="1" applyAlignment="1">
      <alignment horizontal="center"/>
    </xf>
    <xf numFmtId="0" fontId="10" fillId="0" borderId="75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/>
    </xf>
    <xf numFmtId="0" fontId="22" fillId="0" borderId="75" xfId="0" applyFont="1" applyBorder="1" applyAlignment="1">
      <alignment horizontal="center"/>
    </xf>
    <xf numFmtId="0" fontId="13" fillId="23" borderId="4" xfId="0" applyFont="1" applyFill="1" applyBorder="1" applyAlignment="1">
      <alignment horizontal="center"/>
    </xf>
    <xf numFmtId="0" fontId="13" fillId="25" borderId="4" xfId="0" applyFont="1" applyFill="1" applyBorder="1" applyAlignment="1">
      <alignment horizontal="center"/>
    </xf>
    <xf numFmtId="0" fontId="13" fillId="6" borderId="4" xfId="0" applyFont="1" applyFill="1" applyBorder="1" applyAlignment="1">
      <alignment horizontal="center"/>
    </xf>
    <xf numFmtId="0" fontId="70" fillId="33" borderId="4" xfId="0" applyFont="1" applyFill="1" applyBorder="1" applyAlignment="1">
      <alignment horizontal="center"/>
    </xf>
    <xf numFmtId="0" fontId="1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center"/>
    </xf>
    <xf numFmtId="0" fontId="28" fillId="19" borderId="79" xfId="0" applyFont="1" applyFill="1" applyBorder="1" applyAlignment="1">
      <alignment horizontal="center"/>
    </xf>
    <xf numFmtId="0" fontId="26" fillId="19" borderId="80" xfId="0" applyFont="1" applyFill="1" applyBorder="1" applyAlignment="1"/>
    <xf numFmtId="0" fontId="26" fillId="19" borderId="81" xfId="0" applyFont="1" applyFill="1" applyBorder="1" applyAlignment="1">
      <alignment horizontal="center"/>
    </xf>
    <xf numFmtId="0" fontId="28" fillId="19" borderId="82" xfId="0" applyFont="1" applyFill="1" applyBorder="1" applyAlignment="1">
      <alignment horizontal="center"/>
    </xf>
    <xf numFmtId="166" fontId="26" fillId="19" borderId="40" xfId="0" applyNumberFormat="1" applyFont="1" applyFill="1" applyBorder="1" applyAlignment="1"/>
    <xf numFmtId="0" fontId="26" fillId="19" borderId="83" xfId="0" applyFont="1" applyFill="1" applyBorder="1" applyAlignment="1">
      <alignment horizontal="center"/>
    </xf>
    <xf numFmtId="166" fontId="26" fillId="19" borderId="40" xfId="0" applyNumberFormat="1" applyFont="1" applyFill="1" applyBorder="1" applyAlignment="1">
      <alignment vertical="center"/>
    </xf>
    <xf numFmtId="0" fontId="26" fillId="19" borderId="40" xfId="0" applyFont="1" applyFill="1" applyBorder="1" applyAlignment="1">
      <alignment vertical="center"/>
    </xf>
    <xf numFmtId="0" fontId="0" fillId="19" borderId="82" xfId="0" applyFont="1" applyFill="1" applyBorder="1" applyAlignment="1">
      <alignment vertical="center"/>
    </xf>
    <xf numFmtId="0" fontId="0" fillId="19" borderId="83" xfId="0" applyFont="1" applyFill="1" applyBorder="1" applyAlignment="1">
      <alignment vertical="center"/>
    </xf>
    <xf numFmtId="166" fontId="73" fillId="19" borderId="40" xfId="0" applyNumberFormat="1" applyFont="1" applyFill="1" applyBorder="1" applyAlignment="1">
      <alignment vertical="center"/>
    </xf>
    <xf numFmtId="166" fontId="18" fillId="19" borderId="40" xfId="0" applyNumberFormat="1" applyFont="1" applyFill="1" applyBorder="1" applyAlignment="1">
      <alignment horizontal="center"/>
    </xf>
    <xf numFmtId="0" fontId="0" fillId="0" borderId="84" xfId="0" applyFont="1" applyBorder="1" applyAlignment="1">
      <alignment vertical="center"/>
    </xf>
    <xf numFmtId="0" fontId="0" fillId="0" borderId="85" xfId="0" applyFont="1" applyBorder="1" applyAlignment="1">
      <alignment vertical="center"/>
    </xf>
    <xf numFmtId="0" fontId="0" fillId="0" borderId="86" xfId="0" applyFont="1" applyBorder="1" applyAlignment="1">
      <alignment vertical="center"/>
    </xf>
    <xf numFmtId="0" fontId="13" fillId="19" borderId="40" xfId="0" applyFont="1" applyFill="1" applyBorder="1" applyAlignment="1"/>
    <xf numFmtId="166" fontId="4" fillId="0" borderId="0" xfId="0" applyNumberFormat="1" applyFont="1" applyAlignment="1">
      <alignment horizontal="center" vertical="center"/>
    </xf>
    <xf numFmtId="0" fontId="0" fillId="0" borderId="0" xfId="0" applyFont="1" applyAlignment="1">
      <alignment vertical="center"/>
    </xf>
    <xf numFmtId="166" fontId="7" fillId="0" borderId="0" xfId="0" applyNumberFormat="1" applyFont="1" applyAlignment="1">
      <alignment horizontal="center"/>
    </xf>
    <xf numFmtId="0" fontId="17" fillId="2" borderId="1" xfId="0" applyFont="1" applyFill="1" applyBorder="1" applyAlignment="1">
      <alignment horizontal="center" vertical="center" shrinkToFit="1"/>
    </xf>
    <xf numFmtId="0" fontId="2" fillId="0" borderId="3" xfId="0" applyFont="1" applyBorder="1" applyAlignment="1">
      <alignment vertical="center"/>
    </xf>
    <xf numFmtId="0" fontId="8" fillId="0" borderId="1" xfId="0" applyFont="1" applyBorder="1" applyAlignment="1">
      <alignment horizontal="center"/>
    </xf>
    <xf numFmtId="0" fontId="2" fillId="0" borderId="2" xfId="0" applyFont="1" applyBorder="1" applyAlignment="1">
      <alignment vertical="center"/>
    </xf>
    <xf numFmtId="0" fontId="13" fillId="0" borderId="1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" fillId="0" borderId="8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13" fillId="0" borderId="2" xfId="0" applyFont="1" applyBorder="1" applyAlignment="1">
      <alignment horizontal="center"/>
    </xf>
    <xf numFmtId="0" fontId="16" fillId="2" borderId="7" xfId="0" applyFont="1" applyFill="1" applyBorder="1" applyAlignment="1">
      <alignment horizontal="center" vertical="center"/>
    </xf>
    <xf numFmtId="0" fontId="2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6" fontId="13" fillId="0" borderId="1" xfId="0" applyNumberFormat="1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164" fontId="9" fillId="0" borderId="0" xfId="0" applyNumberFormat="1" applyFont="1" applyAlignment="1">
      <alignment horizontal="center"/>
    </xf>
    <xf numFmtId="0" fontId="12" fillId="0" borderId="7" xfId="0" applyFont="1" applyBorder="1" applyAlignment="1">
      <alignment horizontal="center" vertical="center" wrapText="1"/>
    </xf>
    <xf numFmtId="0" fontId="2" fillId="0" borderId="13" xfId="0" applyFont="1" applyBorder="1" applyAlignment="1">
      <alignment vertical="center"/>
    </xf>
    <xf numFmtId="0" fontId="14" fillId="2" borderId="7" xfId="0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/>
    </xf>
    <xf numFmtId="166" fontId="16" fillId="2" borderId="1" xfId="0" applyNumberFormat="1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5" fillId="2" borderId="7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/>
    </xf>
    <xf numFmtId="0" fontId="2" fillId="0" borderId="16" xfId="0" applyFont="1" applyBorder="1" applyAlignment="1">
      <alignment vertical="center"/>
    </xf>
    <xf numFmtId="0" fontId="13" fillId="0" borderId="7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166" fontId="19" fillId="2" borderId="1" xfId="0" applyNumberFormat="1" applyFont="1" applyFill="1" applyBorder="1" applyAlignment="1">
      <alignment horizontal="center"/>
    </xf>
    <xf numFmtId="0" fontId="21" fillId="2" borderId="1" xfId="0" applyFont="1" applyFill="1" applyBorder="1" applyAlignment="1">
      <alignment horizontal="center" vertical="center" shrinkToFit="1"/>
    </xf>
    <xf numFmtId="0" fontId="11" fillId="3" borderId="1" xfId="0" applyFont="1" applyFill="1" applyBorder="1" applyAlignment="1">
      <alignment horizontal="center"/>
    </xf>
    <xf numFmtId="0" fontId="19" fillId="2" borderId="7" xfId="0" applyFont="1" applyFill="1" applyBorder="1" applyAlignment="1">
      <alignment horizontal="center" vertical="center" wrapText="1"/>
    </xf>
    <xf numFmtId="0" fontId="13" fillId="0" borderId="9" xfId="0" applyFont="1" applyBorder="1" applyAlignment="1">
      <alignment horizontal="center"/>
    </xf>
    <xf numFmtId="0" fontId="25" fillId="0" borderId="7" xfId="0" applyFont="1" applyBorder="1" applyAlignment="1">
      <alignment horizontal="center" vertical="center" shrinkToFit="1"/>
    </xf>
    <xf numFmtId="0" fontId="23" fillId="2" borderId="7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8" fillId="0" borderId="7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3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 vertical="center" shrinkToFit="1"/>
    </xf>
    <xf numFmtId="0" fontId="76" fillId="19" borderId="40" xfId="0" applyFont="1" applyFill="1" applyBorder="1" applyAlignment="1">
      <alignment horizontal="center" vertical="center" wrapText="1"/>
    </xf>
    <xf numFmtId="0" fontId="76" fillId="0" borderId="0" xfId="0" applyFont="1" applyAlignment="1">
      <alignment horizontal="center" vertical="center" wrapText="1"/>
    </xf>
    <xf numFmtId="166" fontId="74" fillId="19" borderId="40" xfId="0" applyNumberFormat="1" applyFont="1" applyFill="1" applyBorder="1" applyAlignment="1">
      <alignment horizontal="center" vertical="center" wrapText="1"/>
    </xf>
    <xf numFmtId="0" fontId="74" fillId="19" borderId="40" xfId="0" applyFont="1" applyFill="1" applyBorder="1" applyAlignment="1">
      <alignment horizontal="center" vertical="center" wrapText="1"/>
    </xf>
    <xf numFmtId="166" fontId="75" fillId="19" borderId="40" xfId="0" applyNumberFormat="1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 wrapText="1"/>
    </xf>
    <xf numFmtId="0" fontId="13" fillId="0" borderId="42" xfId="0" applyFont="1" applyBorder="1" applyAlignment="1">
      <alignment horizontal="center"/>
    </xf>
    <xf numFmtId="0" fontId="13" fillId="0" borderId="41" xfId="0" applyFont="1" applyBorder="1" applyAlignment="1">
      <alignment horizontal="center"/>
    </xf>
    <xf numFmtId="166" fontId="16" fillId="2" borderId="41" xfId="0" applyNumberFormat="1" applyFont="1" applyFill="1" applyBorder="1" applyAlignment="1">
      <alignment horizontal="center"/>
    </xf>
    <xf numFmtId="166" fontId="13" fillId="0" borderId="42" xfId="0" applyNumberFormat="1" applyFont="1" applyBorder="1" applyAlignment="1">
      <alignment horizontal="center"/>
    </xf>
    <xf numFmtId="166" fontId="13" fillId="0" borderId="41" xfId="0" applyNumberFormat="1" applyFont="1" applyBorder="1" applyAlignment="1">
      <alignment horizontal="center"/>
    </xf>
    <xf numFmtId="166" fontId="17" fillId="2" borderId="14" xfId="0" applyNumberFormat="1" applyFont="1" applyFill="1" applyBorder="1" applyAlignment="1">
      <alignment horizontal="center" vertical="center" shrinkToFit="1"/>
    </xf>
    <xf numFmtId="166" fontId="17" fillId="2" borderId="29" xfId="0" applyNumberFormat="1" applyFont="1" applyFill="1" applyBorder="1" applyAlignment="1">
      <alignment horizontal="center" vertical="center" shrinkToFit="1"/>
    </xf>
    <xf numFmtId="164" fontId="26" fillId="19" borderId="40" xfId="0" applyNumberFormat="1" applyFont="1" applyFill="1" applyBorder="1" applyAlignment="1">
      <alignment horizontal="right"/>
    </xf>
    <xf numFmtId="0" fontId="0" fillId="19" borderId="40" xfId="0" applyFont="1" applyFill="1" applyBorder="1" applyAlignment="1">
      <alignment vertical="center"/>
    </xf>
    <xf numFmtId="0" fontId="16" fillId="2" borderId="75" xfId="0" applyFont="1" applyFill="1" applyBorder="1" applyAlignment="1">
      <alignment horizontal="center"/>
    </xf>
    <xf numFmtId="0" fontId="16" fillId="2" borderId="38" xfId="0" applyFont="1" applyFill="1" applyBorder="1" applyAlignment="1">
      <alignment horizontal="center"/>
    </xf>
    <xf numFmtId="0" fontId="16" fillId="2" borderId="9" xfId="0" applyFont="1" applyFill="1" applyBorder="1" applyAlignment="1">
      <alignment horizontal="center"/>
    </xf>
    <xf numFmtId="166" fontId="17" fillId="2" borderId="38" xfId="0" applyNumberFormat="1" applyFont="1" applyFill="1" applyBorder="1" applyAlignment="1">
      <alignment horizontal="center" vertical="center" wrapText="1"/>
    </xf>
    <xf numFmtId="166" fontId="17" fillId="2" borderId="39" xfId="0" applyNumberFormat="1" applyFont="1" applyFill="1" applyBorder="1" applyAlignment="1">
      <alignment horizontal="center" vertical="center" wrapText="1"/>
    </xf>
    <xf numFmtId="166" fontId="17" fillId="2" borderId="9" xfId="0" applyNumberFormat="1" applyFont="1" applyFill="1" applyBorder="1" applyAlignment="1">
      <alignment horizontal="center" vertical="center" wrapText="1"/>
    </xf>
    <xf numFmtId="166" fontId="17" fillId="2" borderId="10" xfId="0" applyNumberFormat="1" applyFont="1" applyFill="1" applyBorder="1" applyAlignment="1">
      <alignment horizontal="center" vertical="center" wrapText="1"/>
    </xf>
    <xf numFmtId="0" fontId="8" fillId="30" borderId="14" xfId="0" applyFont="1" applyFill="1" applyBorder="1" applyAlignment="1">
      <alignment horizontal="center" vertical="center"/>
    </xf>
    <xf numFmtId="0" fontId="8" fillId="30" borderId="13" xfId="0" applyFont="1" applyFill="1" applyBorder="1" applyAlignment="1">
      <alignment horizontal="center" vertical="center"/>
    </xf>
    <xf numFmtId="0" fontId="8" fillId="30" borderId="29" xfId="0" applyFont="1" applyFill="1" applyBorder="1" applyAlignment="1">
      <alignment horizontal="center" vertical="center"/>
    </xf>
    <xf numFmtId="0" fontId="6" fillId="0" borderId="41" xfId="0" applyFont="1" applyBorder="1" applyAlignment="1">
      <alignment horizontal="center" vertical="center" shrinkToFit="1"/>
    </xf>
    <xf numFmtId="0" fontId="69" fillId="31" borderId="14" xfId="0" applyFont="1" applyFill="1" applyBorder="1" applyAlignment="1">
      <alignment horizontal="center" vertical="center"/>
    </xf>
    <xf numFmtId="0" fontId="69" fillId="31" borderId="13" xfId="0" applyFont="1" applyFill="1" applyBorder="1" applyAlignment="1">
      <alignment horizontal="center" vertical="center"/>
    </xf>
    <xf numFmtId="0" fontId="69" fillId="31" borderId="29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/>
    </xf>
    <xf numFmtId="0" fontId="16" fillId="2" borderId="13" xfId="0" applyFont="1" applyFill="1" applyBorder="1" applyAlignment="1">
      <alignment horizontal="center" vertical="center"/>
    </xf>
    <xf numFmtId="0" fontId="16" fillId="2" borderId="29" xfId="0" applyFont="1" applyFill="1" applyBorder="1" applyAlignment="1">
      <alignment horizontal="center" vertical="center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12" fillId="23" borderId="1" xfId="0" applyFont="1" applyFill="1" applyBorder="1" applyAlignment="1">
      <alignment horizontal="center" vertical="center"/>
    </xf>
    <xf numFmtId="0" fontId="12" fillId="23" borderId="41" xfId="0" applyFont="1" applyFill="1" applyBorder="1" applyAlignment="1">
      <alignment horizontal="center" vertical="center"/>
    </xf>
    <xf numFmtId="0" fontId="11" fillId="22" borderId="40" xfId="0" applyFont="1" applyFill="1" applyBorder="1" applyAlignment="1">
      <alignment horizontal="center"/>
    </xf>
    <xf numFmtId="0" fontId="2" fillId="19" borderId="40" xfId="0" applyFont="1" applyFill="1" applyBorder="1" applyAlignment="1">
      <alignment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4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/>
    </xf>
    <xf numFmtId="0" fontId="28" fillId="0" borderId="42" xfId="0" applyFont="1" applyBorder="1" applyAlignment="1">
      <alignment horizontal="center"/>
    </xf>
    <xf numFmtId="0" fontId="28" fillId="0" borderId="41" xfId="0" applyFont="1" applyBorder="1" applyAlignment="1">
      <alignment horizontal="center"/>
    </xf>
    <xf numFmtId="0" fontId="12" fillId="24" borderId="1" xfId="0" applyFont="1" applyFill="1" applyBorder="1" applyAlignment="1">
      <alignment horizontal="center" vertical="center" shrinkToFit="1"/>
    </xf>
    <xf numFmtId="0" fontId="57" fillId="24" borderId="2" xfId="0" applyFont="1" applyFill="1" applyBorder="1" applyAlignment="1">
      <alignment vertical="center"/>
    </xf>
    <xf numFmtId="0" fontId="57" fillId="24" borderId="3" xfId="0" applyFont="1" applyFill="1" applyBorder="1" applyAlignment="1">
      <alignment vertical="center"/>
    </xf>
    <xf numFmtId="1" fontId="5" fillId="0" borderId="1" xfId="0" applyNumberFormat="1" applyFont="1" applyBorder="1" applyAlignment="1">
      <alignment horizontal="center"/>
    </xf>
    <xf numFmtId="1" fontId="5" fillId="0" borderId="41" xfId="0" applyNumberFormat="1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25" fillId="0" borderId="42" xfId="0" applyFont="1" applyBorder="1" applyAlignment="1">
      <alignment horizontal="center"/>
    </xf>
    <xf numFmtId="0" fontId="25" fillId="0" borderId="41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0" borderId="12" xfId="0" applyFont="1" applyBorder="1" applyAlignment="1">
      <alignment horizontal="center"/>
    </xf>
    <xf numFmtId="0" fontId="25" fillId="0" borderId="10" xfId="0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66" fontId="5" fillId="0" borderId="41" xfId="0" applyNumberFormat="1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18" fillId="19" borderId="76" xfId="0" applyFont="1" applyFill="1" applyBorder="1" applyAlignment="1">
      <alignment horizontal="center"/>
    </xf>
    <xf numFmtId="0" fontId="18" fillId="19" borderId="77" xfId="0" applyFont="1" applyFill="1" applyBorder="1" applyAlignment="1">
      <alignment horizontal="center"/>
    </xf>
    <xf numFmtId="0" fontId="18" fillId="19" borderId="78" xfId="0" applyFont="1" applyFill="1" applyBorder="1" applyAlignment="1">
      <alignment horizontal="center"/>
    </xf>
    <xf numFmtId="0" fontId="12" fillId="19" borderId="1" xfId="0" applyFont="1" applyFill="1" applyBorder="1" applyAlignment="1">
      <alignment horizontal="center" vertical="center" shrinkToFit="1"/>
    </xf>
    <xf numFmtId="0" fontId="57" fillId="19" borderId="2" xfId="0" applyFont="1" applyFill="1" applyBorder="1" applyAlignment="1">
      <alignment vertical="center"/>
    </xf>
    <xf numFmtId="0" fontId="57" fillId="19" borderId="3" xfId="0" applyFont="1" applyFill="1" applyBorder="1" applyAlignment="1">
      <alignment vertical="center"/>
    </xf>
    <xf numFmtId="0" fontId="12" fillId="24" borderId="9" xfId="0" applyFont="1" applyFill="1" applyBorder="1" applyAlignment="1">
      <alignment horizontal="center" vertical="center" shrinkToFit="1"/>
    </xf>
    <xf numFmtId="0" fontId="57" fillId="24" borderId="12" xfId="0" applyFont="1" applyFill="1" applyBorder="1" applyAlignment="1">
      <alignment vertical="center"/>
    </xf>
    <xf numFmtId="0" fontId="57" fillId="24" borderId="10" xfId="0" applyFont="1" applyFill="1" applyBorder="1" applyAlignment="1">
      <alignment vertical="center"/>
    </xf>
    <xf numFmtId="166" fontId="5" fillId="0" borderId="9" xfId="0" applyNumberFormat="1" applyFont="1" applyBorder="1" applyAlignment="1">
      <alignment horizontal="center"/>
    </xf>
    <xf numFmtId="166" fontId="5" fillId="0" borderId="10" xfId="0" applyNumberFormat="1" applyFont="1" applyBorder="1" applyAlignment="1">
      <alignment horizontal="center"/>
    </xf>
    <xf numFmtId="0" fontId="71" fillId="32" borderId="14" xfId="0" applyFont="1" applyFill="1" applyBorder="1" applyAlignment="1">
      <alignment horizontal="center" vertical="center" shrinkToFit="1"/>
    </xf>
    <xf numFmtId="0" fontId="71" fillId="32" borderId="13" xfId="0" applyFont="1" applyFill="1" applyBorder="1" applyAlignment="1">
      <alignment horizontal="center" vertical="center" shrinkToFit="1"/>
    </xf>
    <xf numFmtId="0" fontId="71" fillId="32" borderId="29" xfId="0" applyFont="1" applyFill="1" applyBorder="1" applyAlignment="1">
      <alignment horizontal="center" vertical="center" shrinkToFit="1"/>
    </xf>
    <xf numFmtId="0" fontId="71" fillId="28" borderId="14" xfId="0" applyFont="1" applyFill="1" applyBorder="1" applyAlignment="1">
      <alignment horizontal="center" vertical="center" shrinkToFit="1"/>
    </xf>
    <xf numFmtId="0" fontId="71" fillId="28" borderId="29" xfId="0" applyFont="1" applyFill="1" applyBorder="1" applyAlignment="1">
      <alignment horizontal="center" vertical="center" shrinkToFit="1"/>
    </xf>
    <xf numFmtId="0" fontId="58" fillId="27" borderId="1" xfId="0" applyFont="1" applyFill="1" applyBorder="1" applyAlignment="1">
      <alignment horizontal="center"/>
    </xf>
    <xf numFmtId="0" fontId="58" fillId="27" borderId="41" xfId="0" applyFont="1" applyFill="1" applyBorder="1" applyAlignment="1">
      <alignment horizontal="center"/>
    </xf>
    <xf numFmtId="0" fontId="77" fillId="32" borderId="1" xfId="0" applyFont="1" applyFill="1" applyBorder="1" applyAlignment="1">
      <alignment horizontal="center"/>
    </xf>
    <xf numFmtId="0" fontId="77" fillId="32" borderId="41" xfId="0" applyFont="1" applyFill="1" applyBorder="1" applyAlignment="1">
      <alignment horizontal="center"/>
    </xf>
    <xf numFmtId="0" fontId="8" fillId="29" borderId="14" xfId="0" applyFont="1" applyFill="1" applyBorder="1" applyAlignment="1">
      <alignment horizontal="center" vertical="center" shrinkToFit="1"/>
    </xf>
    <xf numFmtId="0" fontId="8" fillId="29" borderId="13" xfId="0" applyFont="1" applyFill="1" applyBorder="1" applyAlignment="1">
      <alignment horizontal="center" vertical="center" shrinkToFit="1"/>
    </xf>
    <xf numFmtId="0" fontId="8" fillId="29" borderId="29" xfId="0" applyFont="1" applyFill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center" vertical="center"/>
    </xf>
    <xf numFmtId="0" fontId="15" fillId="2" borderId="13" xfId="0" applyFont="1" applyFill="1" applyBorder="1" applyAlignment="1">
      <alignment horizontal="center" vertical="center"/>
    </xf>
    <xf numFmtId="0" fontId="15" fillId="2" borderId="29" xfId="0" applyFont="1" applyFill="1" applyBorder="1" applyAlignment="1">
      <alignment horizontal="center" vertical="center"/>
    </xf>
    <xf numFmtId="0" fontId="8" fillId="0" borderId="42" xfId="0" applyFont="1" applyBorder="1" applyAlignment="1">
      <alignment horizontal="center"/>
    </xf>
    <xf numFmtId="0" fontId="8" fillId="0" borderId="41" xfId="0" applyFont="1" applyBorder="1" applyAlignment="1">
      <alignment horizontal="center"/>
    </xf>
    <xf numFmtId="0" fontId="8" fillId="0" borderId="38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8" fillId="0" borderId="39" xfId="0" applyFont="1" applyBorder="1" applyAlignment="1">
      <alignment horizontal="center"/>
    </xf>
    <xf numFmtId="166" fontId="30" fillId="19" borderId="40" xfId="0" applyNumberFormat="1" applyFont="1" applyFill="1" applyBorder="1" applyAlignment="1">
      <alignment horizontal="center"/>
    </xf>
    <xf numFmtId="0" fontId="72" fillId="19" borderId="40" xfId="0" applyFont="1" applyFill="1" applyBorder="1" applyAlignment="1">
      <alignment vertical="center"/>
    </xf>
    <xf numFmtId="0" fontId="8" fillId="0" borderId="38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3" fillId="0" borderId="7" xfId="0" applyFont="1" applyBorder="1" applyAlignment="1">
      <alignment horizontal="center" vertical="center" shrinkToFit="1"/>
    </xf>
    <xf numFmtId="164" fontId="26" fillId="0" borderId="0" xfId="0" applyNumberFormat="1" applyFont="1" applyAlignment="1">
      <alignment horizontal="center"/>
    </xf>
    <xf numFmtId="166" fontId="27" fillId="0" borderId="0" xfId="0" applyNumberFormat="1" applyFont="1" applyAlignment="1">
      <alignment horizontal="center"/>
    </xf>
    <xf numFmtId="166" fontId="26" fillId="0" borderId="0" xfId="0" applyNumberFormat="1" applyFont="1" applyAlignment="1">
      <alignment horizontal="center"/>
    </xf>
    <xf numFmtId="0" fontId="16" fillId="2" borderId="7" xfId="0" applyFont="1" applyFill="1" applyBorder="1" applyAlignment="1">
      <alignment horizontal="center"/>
    </xf>
    <xf numFmtId="166" fontId="17" fillId="2" borderId="7" xfId="0" applyNumberFormat="1" applyFont="1" applyFill="1" applyBorder="1" applyAlignment="1">
      <alignment horizontal="center" vertical="center" shrinkToFit="1"/>
    </xf>
    <xf numFmtId="166" fontId="17" fillId="2" borderId="5" xfId="0" applyNumberFormat="1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166" fontId="13" fillId="0" borderId="0" xfId="0" applyNumberFormat="1" applyFont="1" applyAlignment="1">
      <alignment horizontal="center"/>
    </xf>
    <xf numFmtId="0" fontId="33" fillId="0" borderId="1" xfId="0" applyFont="1" applyBorder="1" applyAlignment="1">
      <alignment horizontal="center"/>
    </xf>
    <xf numFmtId="166" fontId="38" fillId="0" borderId="1" xfId="0" applyNumberFormat="1" applyFont="1" applyBorder="1" applyAlignment="1">
      <alignment horizontal="center"/>
    </xf>
    <xf numFmtId="0" fontId="38" fillId="0" borderId="1" xfId="0" applyFont="1" applyBorder="1" applyAlignment="1">
      <alignment horizontal="center"/>
    </xf>
    <xf numFmtId="1" fontId="38" fillId="0" borderId="1" xfId="0" applyNumberFormat="1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3" fillId="0" borderId="26" xfId="0" applyFont="1" applyBorder="1" applyAlignment="1">
      <alignment horizontal="center"/>
    </xf>
    <xf numFmtId="0" fontId="2" fillId="0" borderId="27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36" fillId="0" borderId="21" xfId="0" applyFont="1" applyBorder="1" applyAlignment="1">
      <alignment horizontal="center" vertical="center" shrinkToFit="1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14" fillId="2" borderId="21" xfId="0" applyFont="1" applyFill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35" fillId="0" borderId="1" xfId="0" applyFont="1" applyBorder="1" applyAlignment="1">
      <alignment horizontal="center"/>
    </xf>
    <xf numFmtId="164" fontId="31" fillId="0" borderId="25" xfId="0" applyNumberFormat="1" applyFont="1" applyBorder="1" applyAlignment="1">
      <alignment horizontal="center"/>
    </xf>
    <xf numFmtId="0" fontId="2" fillId="0" borderId="25" xfId="0" applyFont="1" applyBorder="1" applyAlignment="1">
      <alignment vertical="center"/>
    </xf>
    <xf numFmtId="0" fontId="36" fillId="0" borderId="21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 vertical="center" shrinkToFit="1"/>
    </xf>
    <xf numFmtId="0" fontId="1" fillId="0" borderId="17" xfId="0" applyFont="1" applyBorder="1" applyAlignment="1">
      <alignment horizontal="center"/>
    </xf>
    <xf numFmtId="0" fontId="2" fillId="0" borderId="18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33" fillId="0" borderId="0" xfId="0" applyFont="1" applyAlignment="1">
      <alignment horizontal="center"/>
    </xf>
    <xf numFmtId="0" fontId="33" fillId="0" borderId="20" xfId="0" applyFont="1" applyBorder="1" applyAlignment="1">
      <alignment horizontal="center"/>
    </xf>
    <xf numFmtId="0" fontId="16" fillId="2" borderId="7" xfId="0" applyFont="1" applyFill="1" applyBorder="1" applyAlignment="1">
      <alignment horizontal="center" vertical="center" shrinkToFit="1"/>
    </xf>
    <xf numFmtId="0" fontId="16" fillId="2" borderId="5" xfId="0" applyFont="1" applyFill="1" applyBorder="1" applyAlignment="1">
      <alignment horizontal="center" vertical="center" wrapText="1"/>
    </xf>
    <xf numFmtId="0" fontId="32" fillId="0" borderId="20" xfId="0" applyFont="1" applyBorder="1" applyAlignment="1">
      <alignment horizontal="center"/>
    </xf>
    <xf numFmtId="0" fontId="33" fillId="0" borderId="1" xfId="0" applyFont="1" applyBorder="1" applyAlignment="1">
      <alignment horizontal="left"/>
    </xf>
    <xf numFmtId="0" fontId="33" fillId="0" borderId="1" xfId="0" applyFont="1" applyBorder="1" applyAlignment="1">
      <alignment horizontal="center" vertical="center" wrapText="1"/>
    </xf>
    <xf numFmtId="164" fontId="4" fillId="0" borderId="0" xfId="0" applyNumberFormat="1" applyFont="1" applyAlignment="1">
      <alignment horizontal="right"/>
    </xf>
    <xf numFmtId="0" fontId="10" fillId="0" borderId="7" xfId="0" applyFont="1" applyBorder="1" applyAlignment="1">
      <alignment horizontal="center" vertical="center" shrinkToFit="1"/>
    </xf>
    <xf numFmtId="0" fontId="8" fillId="0" borderId="7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39" fillId="2" borderId="7" xfId="0" applyFont="1" applyFill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0" fontId="33" fillId="0" borderId="8" xfId="0" applyFont="1" applyBorder="1" applyAlignment="1">
      <alignment horizontal="center"/>
    </xf>
    <xf numFmtId="166" fontId="16" fillId="2" borderId="7" xfId="0" applyNumberFormat="1" applyFont="1" applyFill="1" applyBorder="1" applyAlignment="1">
      <alignment horizontal="center" vertical="center" shrinkToFit="1"/>
    </xf>
    <xf numFmtId="166" fontId="16" fillId="2" borderId="5" xfId="0" applyNumberFormat="1" applyFont="1" applyFill="1" applyBorder="1" applyAlignment="1">
      <alignment horizontal="center" vertical="center" wrapText="1"/>
    </xf>
    <xf numFmtId="166" fontId="16" fillId="2" borderId="7" xfId="0" applyNumberFormat="1" applyFont="1" applyFill="1" applyBorder="1" applyAlignment="1">
      <alignment horizontal="center"/>
    </xf>
    <xf numFmtId="166" fontId="16" fillId="2" borderId="5" xfId="0" applyNumberFormat="1" applyFont="1" applyFill="1" applyBorder="1" applyAlignment="1">
      <alignment horizontal="center"/>
    </xf>
    <xf numFmtId="0" fontId="13" fillId="19" borderId="40" xfId="0" applyFont="1" applyFill="1" applyBorder="1" applyAlignment="1">
      <alignment horizontal="center"/>
    </xf>
    <xf numFmtId="0" fontId="2" fillId="0" borderId="40" xfId="0" applyFont="1" applyBorder="1" applyAlignment="1">
      <alignment vertical="center"/>
    </xf>
    <xf numFmtId="166" fontId="13" fillId="19" borderId="40" xfId="0" applyNumberFormat="1" applyFont="1" applyFill="1" applyBorder="1" applyAlignment="1">
      <alignment horizontal="center"/>
    </xf>
    <xf numFmtId="0" fontId="2" fillId="0" borderId="42" xfId="0" applyFont="1" applyBorder="1" applyAlignment="1">
      <alignment vertical="center"/>
    </xf>
    <xf numFmtId="0" fontId="8" fillId="0" borderId="72" xfId="0" applyFont="1" applyBorder="1" applyAlignment="1">
      <alignment horizontal="center"/>
    </xf>
    <xf numFmtId="0" fontId="2" fillId="0" borderId="73" xfId="0" applyFont="1" applyBorder="1" applyAlignment="1">
      <alignment vertical="center"/>
    </xf>
    <xf numFmtId="0" fontId="2" fillId="0" borderId="74" xfId="0" applyFont="1" applyBorder="1" applyAlignment="1">
      <alignment vertical="center"/>
    </xf>
    <xf numFmtId="164" fontId="4" fillId="19" borderId="40" xfId="0" applyNumberFormat="1" applyFont="1" applyFill="1" applyBorder="1" applyAlignment="1">
      <alignment horizontal="center"/>
    </xf>
    <xf numFmtId="0" fontId="8" fillId="0" borderId="60" xfId="0" applyFont="1" applyBorder="1" applyAlignment="1">
      <alignment horizontal="center" vertical="center"/>
    </xf>
    <xf numFmtId="0" fontId="2" fillId="0" borderId="58" xfId="0" applyFont="1" applyBorder="1" applyAlignment="1">
      <alignment vertical="center"/>
    </xf>
    <xf numFmtId="0" fontId="2" fillId="0" borderId="61" xfId="0" applyFont="1" applyBorder="1" applyAlignment="1">
      <alignment vertical="center"/>
    </xf>
    <xf numFmtId="0" fontId="2" fillId="0" borderId="65" xfId="0" applyFont="1" applyBorder="1" applyAlignment="1">
      <alignment vertical="center"/>
    </xf>
    <xf numFmtId="0" fontId="2" fillId="0" borderId="63" xfId="0" applyFont="1" applyBorder="1" applyAlignment="1">
      <alignment vertical="center"/>
    </xf>
    <xf numFmtId="0" fontId="2" fillId="0" borderId="66" xfId="0" applyFont="1" applyBorder="1" applyAlignment="1">
      <alignment vertical="center"/>
    </xf>
    <xf numFmtId="0" fontId="8" fillId="0" borderId="57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62" xfId="0" applyFont="1" applyBorder="1" applyAlignment="1">
      <alignment horizontal="center" vertical="center"/>
    </xf>
    <xf numFmtId="0" fontId="2" fillId="0" borderId="63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39" xfId="0" applyFont="1" applyBorder="1" applyAlignment="1">
      <alignment vertical="center"/>
    </xf>
    <xf numFmtId="0" fontId="12" fillId="11" borderId="1" xfId="0" applyFont="1" applyFill="1" applyBorder="1" applyAlignment="1">
      <alignment horizontal="center" vertical="center" shrinkToFit="1"/>
    </xf>
    <xf numFmtId="0" fontId="57" fillId="11" borderId="2" xfId="0" applyFont="1" applyFill="1" applyBorder="1" applyAlignment="1">
      <alignment vertical="center"/>
    </xf>
    <xf numFmtId="0" fontId="57" fillId="11" borderId="3" xfId="0" applyFont="1" applyFill="1" applyBorder="1" applyAlignment="1">
      <alignment vertical="center"/>
    </xf>
    <xf numFmtId="0" fontId="12" fillId="7" borderId="1" xfId="0" applyFont="1" applyFill="1" applyBorder="1" applyAlignment="1">
      <alignment horizontal="center"/>
    </xf>
    <xf numFmtId="0" fontId="57" fillId="7" borderId="2" xfId="0" applyFont="1" applyFill="1" applyBorder="1" applyAlignment="1">
      <alignment horizontal="center" vertical="center"/>
    </xf>
    <xf numFmtId="0" fontId="57" fillId="7" borderId="3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57" fillId="0" borderId="2" xfId="0" applyFont="1" applyBorder="1" applyAlignment="1">
      <alignment vertical="center"/>
    </xf>
    <xf numFmtId="0" fontId="57" fillId="0" borderId="3" xfId="0" applyFont="1" applyBorder="1" applyAlignment="1">
      <alignment vertical="center"/>
    </xf>
    <xf numFmtId="0" fontId="12" fillId="8" borderId="1" xfId="0" applyFont="1" applyFill="1" applyBorder="1" applyAlignment="1">
      <alignment horizontal="center"/>
    </xf>
    <xf numFmtId="0" fontId="57" fillId="8" borderId="2" xfId="0" applyFont="1" applyFill="1" applyBorder="1" applyAlignment="1">
      <alignment vertical="center"/>
    </xf>
    <xf numFmtId="0" fontId="57" fillId="8" borderId="3" xfId="0" applyFont="1" applyFill="1" applyBorder="1" applyAlignment="1">
      <alignment vertical="center"/>
    </xf>
    <xf numFmtId="0" fontId="59" fillId="12" borderId="7" xfId="0" applyFont="1" applyFill="1" applyBorder="1" applyAlignment="1">
      <alignment horizontal="center" vertical="center"/>
    </xf>
    <xf numFmtId="0" fontId="60" fillId="6" borderId="13" xfId="0" applyFont="1" applyFill="1" applyBorder="1" applyAlignment="1">
      <alignment vertical="center"/>
    </xf>
    <xf numFmtId="0" fontId="60" fillId="6" borderId="11" xfId="0" applyFont="1" applyFill="1" applyBorder="1" applyAlignment="1">
      <alignment vertical="center"/>
    </xf>
    <xf numFmtId="0" fontId="58" fillId="16" borderId="7" xfId="0" applyFont="1" applyFill="1" applyBorder="1" applyAlignment="1">
      <alignment horizontal="center" vertical="center"/>
    </xf>
    <xf numFmtId="0" fontId="55" fillId="17" borderId="11" xfId="0" applyFont="1" applyFill="1" applyBorder="1" applyAlignment="1">
      <alignment vertical="center"/>
    </xf>
    <xf numFmtId="0" fontId="59" fillId="7" borderId="7" xfId="0" applyFont="1" applyFill="1" applyBorder="1" applyAlignment="1">
      <alignment horizontal="center" vertical="center" shrinkToFit="1"/>
    </xf>
    <xf numFmtId="0" fontId="61" fillId="7" borderId="13" xfId="0" applyFont="1" applyFill="1" applyBorder="1" applyAlignment="1">
      <alignment vertical="center"/>
    </xf>
    <xf numFmtId="0" fontId="61" fillId="7" borderId="11" xfId="0" applyFont="1" applyFill="1" applyBorder="1" applyAlignment="1">
      <alignment vertical="center"/>
    </xf>
    <xf numFmtId="0" fontId="25" fillId="11" borderId="7" xfId="0" applyFont="1" applyFill="1" applyBorder="1" applyAlignment="1">
      <alignment horizontal="center" vertical="center" shrinkToFit="1"/>
    </xf>
    <xf numFmtId="0" fontId="2" fillId="11" borderId="13" xfId="0" applyFont="1" applyFill="1" applyBorder="1" applyAlignment="1">
      <alignment vertical="center"/>
    </xf>
    <xf numFmtId="0" fontId="2" fillId="11" borderId="1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center"/>
    </xf>
    <xf numFmtId="0" fontId="57" fillId="4" borderId="3" xfId="0" applyFont="1" applyFill="1" applyBorder="1" applyAlignment="1">
      <alignment vertical="center"/>
    </xf>
    <xf numFmtId="0" fontId="25" fillId="6" borderId="7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vertical="center"/>
    </xf>
    <xf numFmtId="0" fontId="2" fillId="6" borderId="11" xfId="0" applyFont="1" applyFill="1" applyBorder="1" applyAlignment="1">
      <alignment vertical="center"/>
    </xf>
    <xf numFmtId="0" fontId="12" fillId="10" borderId="1" xfId="0" applyFont="1" applyFill="1" applyBorder="1" applyAlignment="1">
      <alignment horizontal="center" vertical="center" shrinkToFit="1"/>
    </xf>
    <xf numFmtId="0" fontId="57" fillId="10" borderId="3" xfId="0" applyFont="1" applyFill="1" applyBorder="1" applyAlignment="1">
      <alignment vertical="center"/>
    </xf>
    <xf numFmtId="166" fontId="13" fillId="5" borderId="1" xfId="0" applyNumberFormat="1" applyFont="1" applyFill="1" applyBorder="1" applyAlignment="1">
      <alignment horizontal="center"/>
    </xf>
    <xf numFmtId="0" fontId="2" fillId="5" borderId="2" xfId="0" applyFont="1" applyFill="1" applyBorder="1" applyAlignment="1">
      <alignment vertical="center"/>
    </xf>
    <xf numFmtId="0" fontId="2" fillId="5" borderId="3" xfId="0" applyFont="1" applyFill="1" applyBorder="1" applyAlignment="1">
      <alignment vertical="center"/>
    </xf>
    <xf numFmtId="0" fontId="12" fillId="10" borderId="1" xfId="0" applyFont="1" applyFill="1" applyBorder="1" applyAlignment="1">
      <alignment horizontal="center" vertical="center" wrapText="1"/>
    </xf>
    <xf numFmtId="0" fontId="57" fillId="10" borderId="2" xfId="0" applyFont="1" applyFill="1" applyBorder="1" applyAlignment="1">
      <alignment vertical="center"/>
    </xf>
    <xf numFmtId="166" fontId="13" fillId="8" borderId="1" xfId="0" applyNumberFormat="1" applyFont="1" applyFill="1" applyBorder="1" applyAlignment="1">
      <alignment horizontal="center"/>
    </xf>
    <xf numFmtId="0" fontId="2" fillId="8" borderId="2" xfId="0" applyFont="1" applyFill="1" applyBorder="1" applyAlignment="1">
      <alignment vertical="center"/>
    </xf>
    <xf numFmtId="0" fontId="2" fillId="8" borderId="3" xfId="0" applyFont="1" applyFill="1" applyBorder="1" applyAlignment="1">
      <alignment vertical="center"/>
    </xf>
    <xf numFmtId="0" fontId="66" fillId="9" borderId="1" xfId="0" applyFont="1" applyFill="1" applyBorder="1" applyAlignment="1">
      <alignment horizontal="center"/>
    </xf>
    <xf numFmtId="0" fontId="67" fillId="9" borderId="2" xfId="0" applyFont="1" applyFill="1" applyBorder="1" applyAlignment="1">
      <alignment vertical="center"/>
    </xf>
    <xf numFmtId="0" fontId="67" fillId="9" borderId="3" xfId="0" applyFont="1" applyFill="1" applyBorder="1" applyAlignment="1">
      <alignment vertical="center"/>
    </xf>
    <xf numFmtId="0" fontId="68" fillId="22" borderId="40" xfId="0" applyFont="1" applyFill="1" applyBorder="1" applyAlignment="1">
      <alignment horizontal="center"/>
    </xf>
    <xf numFmtId="0" fontId="57" fillId="19" borderId="40" xfId="0" applyFont="1" applyFill="1" applyBorder="1" applyAlignment="1">
      <alignment vertical="center"/>
    </xf>
    <xf numFmtId="0" fontId="16" fillId="18" borderId="7" xfId="0" applyFont="1" applyFill="1" applyBorder="1" applyAlignment="1">
      <alignment horizontal="center" vertical="center"/>
    </xf>
    <xf numFmtId="0" fontId="2" fillId="19" borderId="11" xfId="0" applyFont="1" applyFill="1" applyBorder="1" applyAlignment="1">
      <alignment vertical="center"/>
    </xf>
    <xf numFmtId="0" fontId="54" fillId="16" borderId="7" xfId="0" applyFont="1" applyFill="1" applyBorder="1" applyAlignment="1">
      <alignment horizontal="center" vertical="center" shrinkToFit="1"/>
    </xf>
    <xf numFmtId="0" fontId="56" fillId="17" borderId="11" xfId="0" applyFont="1" applyFill="1" applyBorder="1" applyAlignment="1">
      <alignment vertical="center"/>
    </xf>
    <xf numFmtId="0" fontId="54" fillId="16" borderId="5" xfId="0" applyFont="1" applyFill="1" applyBorder="1" applyAlignment="1">
      <alignment horizontal="center" vertical="center" wrapText="1"/>
    </xf>
    <xf numFmtId="0" fontId="56" fillId="17" borderId="6" xfId="0" applyFont="1" applyFill="1" applyBorder="1" applyAlignment="1">
      <alignment vertical="center"/>
    </xf>
    <xf numFmtId="0" fontId="56" fillId="17" borderId="9" xfId="0" applyFont="1" applyFill="1" applyBorder="1" applyAlignment="1">
      <alignment vertical="center"/>
    </xf>
    <xf numFmtId="0" fontId="56" fillId="17" borderId="10" xfId="0" applyFont="1" applyFill="1" applyBorder="1" applyAlignment="1">
      <alignment vertical="center"/>
    </xf>
    <xf numFmtId="166" fontId="16" fillId="20" borderId="1" xfId="0" applyNumberFormat="1" applyFont="1" applyFill="1" applyBorder="1" applyAlignment="1">
      <alignment horizontal="center"/>
    </xf>
    <xf numFmtId="0" fontId="2" fillId="21" borderId="3" xfId="0" applyFont="1" applyFill="1" applyBorder="1" applyAlignment="1">
      <alignment vertical="center"/>
    </xf>
    <xf numFmtId="0" fontId="16" fillId="18" borderId="54" xfId="0" applyFont="1" applyFill="1" applyBorder="1" applyAlignment="1">
      <alignment horizontal="center"/>
    </xf>
    <xf numFmtId="0" fontId="2" fillId="19" borderId="55" xfId="0" applyFont="1" applyFill="1" applyBorder="1" applyAlignment="1">
      <alignment vertical="center"/>
    </xf>
    <xf numFmtId="0" fontId="16" fillId="18" borderId="7" xfId="0" applyFont="1" applyFill="1" applyBorder="1" applyAlignment="1">
      <alignment horizontal="center"/>
    </xf>
    <xf numFmtId="166" fontId="16" fillId="20" borderId="69" xfId="0" applyNumberFormat="1" applyFont="1" applyFill="1" applyBorder="1" applyAlignment="1">
      <alignment horizontal="center"/>
    </xf>
    <xf numFmtId="0" fontId="2" fillId="21" borderId="70" xfId="0" applyFont="1" applyFill="1" applyBorder="1" applyAlignment="1">
      <alignment vertical="center"/>
    </xf>
    <xf numFmtId="166" fontId="26" fillId="0" borderId="0" xfId="0" applyNumberFormat="1" applyFont="1" applyAlignment="1">
      <alignment horizontal="center" vertical="center" wrapText="1"/>
    </xf>
    <xf numFmtId="0" fontId="43" fillId="0" borderId="9" xfId="0" applyFont="1" applyBorder="1" applyAlignment="1">
      <alignment horizontal="center"/>
    </xf>
    <xf numFmtId="0" fontId="43" fillId="0" borderId="1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2" fontId="16" fillId="2" borderId="1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 vertical="center" wrapText="1"/>
    </xf>
    <xf numFmtId="166" fontId="9" fillId="3" borderId="7" xfId="0" applyNumberFormat="1" applyFont="1" applyFill="1" applyBorder="1" applyAlignment="1">
      <alignment horizontal="center"/>
    </xf>
    <xf numFmtId="0" fontId="13" fillId="0" borderId="5" xfId="0" applyFont="1" applyBorder="1" applyAlignment="1">
      <alignment horizontal="center" vertical="center" shrinkToFit="1"/>
    </xf>
    <xf numFmtId="0" fontId="42" fillId="0" borderId="7" xfId="0" applyFont="1" applyBorder="1" applyAlignment="1">
      <alignment horizontal="center" vertical="center" wrapText="1"/>
    </xf>
    <xf numFmtId="166" fontId="9" fillId="3" borderId="7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166" fontId="45" fillId="3" borderId="7" xfId="0" applyNumberFormat="1" applyFont="1" applyFill="1" applyBorder="1" applyAlignment="1">
      <alignment horizontal="center"/>
    </xf>
    <xf numFmtId="166" fontId="45" fillId="3" borderId="7" xfId="0" applyNumberFormat="1" applyFont="1" applyFill="1" applyBorder="1" applyAlignment="1">
      <alignment horizontal="center" vertical="center"/>
    </xf>
    <xf numFmtId="0" fontId="4" fillId="0" borderId="2" xfId="0" applyFont="1" applyBorder="1" applyAlignment="1"/>
    <xf numFmtId="164" fontId="4" fillId="0" borderId="15" xfId="0" applyNumberFormat="1" applyFont="1" applyBorder="1" applyAlignment="1">
      <alignment horizontal="center"/>
    </xf>
    <xf numFmtId="0" fontId="2" fillId="0" borderId="15" xfId="0" applyFont="1" applyBorder="1" applyAlignment="1">
      <alignment vertical="center"/>
    </xf>
    <xf numFmtId="0" fontId="16" fillId="2" borderId="7" xfId="0" applyFont="1" applyFill="1" applyBorder="1" applyAlignment="1">
      <alignment horizontal="center" vertical="center" wrapText="1"/>
    </xf>
    <xf numFmtId="166" fontId="27" fillId="0" borderId="0" xfId="0" applyNumberFormat="1" applyFont="1" applyAlignment="1">
      <alignment horizontal="center" vertical="center" wrapText="1"/>
    </xf>
    <xf numFmtId="166" fontId="26" fillId="0" borderId="8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166" fontId="16" fillId="0" borderId="1" xfId="0" applyNumberFormat="1" applyFont="1" applyBorder="1" applyAlignment="1">
      <alignment horizontal="center"/>
    </xf>
    <xf numFmtId="0" fontId="15" fillId="0" borderId="7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/>
    </xf>
    <xf numFmtId="166" fontId="46" fillId="3" borderId="1" xfId="0" applyNumberFormat="1" applyFont="1" applyFill="1" applyBorder="1" applyAlignment="1">
      <alignment horizontal="center"/>
    </xf>
    <xf numFmtId="0" fontId="12" fillId="0" borderId="5" xfId="0" applyFont="1" applyBorder="1" applyAlignment="1">
      <alignment horizontal="center" vertical="center" shrinkToFit="1"/>
    </xf>
    <xf numFmtId="0" fontId="47" fillId="3" borderId="30" xfId="0" applyFont="1" applyFill="1" applyBorder="1" applyAlignment="1">
      <alignment horizontal="center"/>
    </xf>
    <xf numFmtId="0" fontId="2" fillId="0" borderId="31" xfId="0" applyFont="1" applyBorder="1" applyAlignment="1">
      <alignment vertical="center"/>
    </xf>
    <xf numFmtId="0" fontId="8" fillId="3" borderId="1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shrinkToFit="1"/>
    </xf>
    <xf numFmtId="166" fontId="13" fillId="0" borderId="1" xfId="0" applyNumberFormat="1" applyFont="1" applyBorder="1" applyAlignment="1">
      <alignment horizontal="center" vertical="center"/>
    </xf>
    <xf numFmtId="166" fontId="22" fillId="0" borderId="1" xfId="0" applyNumberFormat="1" applyFont="1" applyBorder="1" applyAlignment="1">
      <alignment horizontal="center"/>
    </xf>
    <xf numFmtId="0" fontId="13" fillId="0" borderId="13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166" fontId="46" fillId="0" borderId="1" xfId="0" applyNumberFormat="1" applyFont="1" applyBorder="1" applyAlignment="1">
      <alignment horizontal="center"/>
    </xf>
    <xf numFmtId="0" fontId="15" fillId="0" borderId="7" xfId="0" applyFont="1" applyBorder="1" applyAlignment="1">
      <alignment horizontal="center" vertical="center"/>
    </xf>
    <xf numFmtId="166" fontId="10" fillId="0" borderId="7" xfId="0" applyNumberFormat="1" applyFont="1" applyBorder="1" applyAlignment="1">
      <alignment horizontal="center" vertical="center" shrinkToFit="1"/>
    </xf>
    <xf numFmtId="166" fontId="10" fillId="0" borderId="5" xfId="0" applyNumberFormat="1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/>
    </xf>
    <xf numFmtId="0" fontId="38" fillId="0" borderId="5" xfId="0" applyFont="1" applyBorder="1" applyAlignment="1">
      <alignment horizontal="center" vertical="center" wrapText="1"/>
    </xf>
    <xf numFmtId="0" fontId="38" fillId="0" borderId="7" xfId="0" applyFont="1" applyBorder="1" applyAlignment="1">
      <alignment horizontal="center"/>
    </xf>
    <xf numFmtId="0" fontId="38" fillId="0" borderId="7" xfId="0" applyFont="1" applyBorder="1" applyAlignment="1">
      <alignment horizontal="center" vertical="center" shrinkToFit="1"/>
    </xf>
    <xf numFmtId="0" fontId="33" fillId="0" borderId="7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1" fillId="0" borderId="33" xfId="0" applyFont="1" applyBorder="1" applyAlignment="1">
      <alignment horizontal="center" vertical="center" wrapText="1"/>
    </xf>
    <xf numFmtId="0" fontId="2" fillId="0" borderId="34" xfId="0" applyFont="1" applyBorder="1" applyAlignment="1">
      <alignment vertical="center"/>
    </xf>
    <xf numFmtId="166" fontId="51" fillId="0" borderId="0" xfId="0" applyNumberFormat="1" applyFont="1" applyAlignment="1">
      <alignment horizontal="center"/>
    </xf>
    <xf numFmtId="0" fontId="13" fillId="0" borderId="5" xfId="0" applyFont="1" applyBorder="1" applyAlignment="1">
      <alignment horizontal="center"/>
    </xf>
    <xf numFmtId="0" fontId="8" fillId="0" borderId="20" xfId="0" applyFont="1" applyBorder="1" applyAlignment="1">
      <alignment horizontal="center"/>
    </xf>
    <xf numFmtId="0" fontId="49" fillId="0" borderId="21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8" fillId="0" borderId="15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166" fontId="4" fillId="3" borderId="30" xfId="0" applyNumberFormat="1" applyFont="1" applyFill="1" applyBorder="1" applyAlignment="1">
      <alignment horizontal="center"/>
    </xf>
    <xf numFmtId="166" fontId="7" fillId="3" borderId="30" xfId="0" applyNumberFormat="1" applyFont="1" applyFill="1" applyBorder="1" applyAlignment="1">
      <alignment horizontal="center"/>
    </xf>
    <xf numFmtId="0" fontId="12" fillId="3" borderId="20" xfId="0" applyFont="1" applyFill="1" applyBorder="1" applyAlignment="1">
      <alignment horizontal="center"/>
    </xf>
    <xf numFmtId="0" fontId="12" fillId="0" borderId="21" xfId="0" applyFont="1" applyBorder="1" applyAlignment="1">
      <alignment horizontal="center" vertical="center"/>
    </xf>
    <xf numFmtId="0" fontId="12" fillId="3" borderId="33" xfId="0" applyFont="1" applyFill="1" applyBorder="1" applyAlignment="1">
      <alignment horizontal="center"/>
    </xf>
    <xf numFmtId="0" fontId="13" fillId="0" borderId="1" xfId="0" applyFont="1" applyBorder="1" applyAlignment="1">
      <alignment horizontal="center" wrapText="1"/>
    </xf>
    <xf numFmtId="166" fontId="24" fillId="0" borderId="1" xfId="0" applyNumberFormat="1" applyFont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166" fontId="26" fillId="0" borderId="1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23" fillId="0" borderId="21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 wrapText="1"/>
    </xf>
    <xf numFmtId="166" fontId="8" fillId="3" borderId="1" xfId="0" applyNumberFormat="1" applyFont="1" applyFill="1" applyBorder="1" applyAlignment="1">
      <alignment horizontal="center"/>
    </xf>
    <xf numFmtId="0" fontId="12" fillId="3" borderId="5" xfId="0" applyFont="1" applyFill="1" applyBorder="1" applyAlignment="1">
      <alignment horizontal="center"/>
    </xf>
    <xf numFmtId="166" fontId="13" fillId="0" borderId="5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13" fillId="0" borderId="6" xfId="0" applyFont="1" applyBorder="1" applyAlignment="1">
      <alignment horizontal="center" vertical="center"/>
    </xf>
    <xf numFmtId="0" fontId="16" fillId="2" borderId="7" xfId="0" applyFont="1" applyFill="1" applyBorder="1" applyAlignment="1">
      <alignment horizontal="left" vertical="center"/>
    </xf>
    <xf numFmtId="166" fontId="13" fillId="0" borderId="8" xfId="0" applyNumberFormat="1" applyFont="1" applyBorder="1" applyAlignment="1">
      <alignment horizontal="center"/>
    </xf>
    <xf numFmtId="2" fontId="13" fillId="0" borderId="5" xfId="0" applyNumberFormat="1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2" fillId="0" borderId="43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0" fontId="26" fillId="0" borderId="1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981075</xdr:colOff>
      <xdr:row>30</xdr:row>
      <xdr:rowOff>171450</xdr:rowOff>
    </xdr:from>
    <xdr:ext cx="2257425" cy="18764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/>
      </xdr:nvSpPr>
      <xdr:spPr>
        <a:xfrm>
          <a:off x="895350" y="6448425"/>
          <a:ext cx="2232248" cy="1872208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1114425</xdr:colOff>
      <xdr:row>31</xdr:row>
      <xdr:rowOff>0</xdr:rowOff>
    </xdr:from>
    <xdr:ext cx="0" cy="185737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SpPr/>
      </xdr:nvSpPr>
      <xdr:spPr>
        <a:xfrm>
          <a:off x="2011474" y="6448425"/>
          <a:ext cx="0" cy="1872208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95250</xdr:colOff>
      <xdr:row>35</xdr:row>
      <xdr:rowOff>123825</xdr:rowOff>
    </xdr:from>
    <xdr:ext cx="790575" cy="0"/>
    <xdr:cxnSp macro="">
      <xdr:nvCxnSpPr>
        <xdr:cNvPr id="4" name="straightConnector1">
          <a:extLst>
            <a:ext uri="{FF2B5EF4-FFF2-40B4-BE49-F238E27FC236}">
              <a16:creationId xmlns:a16="http://schemas.microsoft.com/office/drawing/2014/main" xmlns="" id="{00000000-0008-0000-0000-000004000000}"/>
            </a:ext>
          </a:extLst>
        </xdr:cNvPr>
        <xdr:cNvCxnSpPr/>
      </xdr:nvCxnSpPr>
      <xdr:spPr>
        <a:xfrm>
          <a:off x="2191494" y="7384529"/>
          <a:ext cx="792088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33</xdr:row>
      <xdr:rowOff>0</xdr:rowOff>
    </xdr:from>
    <xdr:ext cx="3743325" cy="22574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SpPr/>
      </xdr:nvSpPr>
      <xdr:spPr>
        <a:xfrm>
          <a:off x="895350" y="6753225"/>
          <a:ext cx="3744416" cy="2160240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19050</xdr:colOff>
      <xdr:row>33</xdr:row>
      <xdr:rowOff>0</xdr:rowOff>
    </xdr:from>
    <xdr:ext cx="0" cy="22574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SpPr/>
      </xdr:nvSpPr>
      <xdr:spPr>
        <a:xfrm>
          <a:off x="2119486" y="6753225"/>
          <a:ext cx="0" cy="216024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676275</xdr:colOff>
      <xdr:row>32</xdr:row>
      <xdr:rowOff>200025</xdr:rowOff>
    </xdr:from>
    <xdr:ext cx="0" cy="2238375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SpPr/>
      </xdr:nvSpPr>
      <xdr:spPr>
        <a:xfrm>
          <a:off x="3415630" y="6729831"/>
          <a:ext cx="0" cy="216024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142875</xdr:colOff>
      <xdr:row>38</xdr:row>
      <xdr:rowOff>95250</xdr:rowOff>
    </xdr:from>
    <xdr:ext cx="933450" cy="0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CxnSpPr/>
      </xdr:nvCxnSpPr>
      <xdr:spPr>
        <a:xfrm flipH="1">
          <a:off x="1039366" y="7809951"/>
          <a:ext cx="93610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3</xdr:col>
      <xdr:colOff>895350</xdr:colOff>
      <xdr:row>38</xdr:row>
      <xdr:rowOff>133350</xdr:rowOff>
    </xdr:from>
    <xdr:ext cx="933450" cy="0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CxnSpPr/>
      </xdr:nvCxnSpPr>
      <xdr:spPr>
        <a:xfrm>
          <a:off x="3631654" y="7850248"/>
          <a:ext cx="927720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31</xdr:row>
      <xdr:rowOff>0</xdr:rowOff>
    </xdr:from>
    <xdr:ext cx="3524250" cy="1295400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SpPr/>
      </xdr:nvSpPr>
      <xdr:spPr>
        <a:xfrm>
          <a:off x="1019175" y="6715125"/>
          <a:ext cx="3528392" cy="1656184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857250</xdr:colOff>
      <xdr:row>31</xdr:row>
      <xdr:rowOff>0</xdr:rowOff>
    </xdr:from>
    <xdr:ext cx="0" cy="1295400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SpPr/>
      </xdr:nvSpPr>
      <xdr:spPr>
        <a:xfrm>
          <a:off x="1883271" y="6715125"/>
          <a:ext cx="0" cy="1656184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533400</xdr:colOff>
      <xdr:row>31</xdr:row>
      <xdr:rowOff>0</xdr:rowOff>
    </xdr:from>
    <xdr:ext cx="0" cy="129540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0200-000004000000}"/>
            </a:ext>
          </a:extLst>
        </xdr:cNvPr>
        <xdr:cNvSpPr/>
      </xdr:nvSpPr>
      <xdr:spPr>
        <a:xfrm>
          <a:off x="2783371" y="6715125"/>
          <a:ext cx="0" cy="1656184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4</xdr:col>
      <xdr:colOff>152400</xdr:colOff>
      <xdr:row>31</xdr:row>
      <xdr:rowOff>0</xdr:rowOff>
    </xdr:from>
    <xdr:ext cx="0" cy="1295400"/>
    <xdr:sp macro="" textlink="">
      <xdr:nvSpPr>
        <xdr:cNvPr id="5" name="line">
          <a:extLst>
            <a:ext uri="{FF2B5EF4-FFF2-40B4-BE49-F238E27FC236}">
              <a16:creationId xmlns:a16="http://schemas.microsoft.com/office/drawing/2014/main" xmlns="" id="{00000000-0008-0000-0200-000005000000}"/>
            </a:ext>
          </a:extLst>
        </xdr:cNvPr>
        <xdr:cNvSpPr/>
      </xdr:nvSpPr>
      <xdr:spPr>
        <a:xfrm>
          <a:off x="3683471" y="6715125"/>
          <a:ext cx="0" cy="1656184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1076325</xdr:colOff>
      <xdr:row>34</xdr:row>
      <xdr:rowOff>47625</xdr:rowOff>
    </xdr:from>
    <xdr:ext cx="581025" cy="0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0200-000006000000}"/>
            </a:ext>
          </a:extLst>
        </xdr:cNvPr>
        <xdr:cNvCxnSpPr/>
      </xdr:nvCxnSpPr>
      <xdr:spPr>
        <a:xfrm>
          <a:off x="2099295" y="7543217"/>
          <a:ext cx="57606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2</xdr:col>
      <xdr:colOff>628650</xdr:colOff>
      <xdr:row>34</xdr:row>
      <xdr:rowOff>47625</xdr:rowOff>
    </xdr:from>
    <xdr:ext cx="600075" cy="0"/>
    <xdr:cxnSp macro="">
      <xdr:nvCxnSpPr>
        <xdr:cNvPr id="7" name="straightConnector1">
          <a:extLst>
            <a:ext uri="{FF2B5EF4-FFF2-40B4-BE49-F238E27FC236}">
              <a16:creationId xmlns:a16="http://schemas.microsoft.com/office/drawing/2014/main" xmlns="" id="{00000000-0008-0000-0200-000007000000}"/>
            </a:ext>
          </a:extLst>
        </xdr:cNvPr>
        <xdr:cNvCxnSpPr/>
      </xdr:nvCxnSpPr>
      <xdr:spPr>
        <a:xfrm flipH="1">
          <a:off x="2876812" y="7543217"/>
          <a:ext cx="596957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335280</xdr:colOff>
      <xdr:row>5</xdr:row>
      <xdr:rowOff>20232</xdr:rowOff>
    </xdr:from>
    <xdr:to>
      <xdr:col>7</xdr:col>
      <xdr:colOff>163830</xdr:colOff>
      <xdr:row>5</xdr:row>
      <xdr:rowOff>533399</xdr:rowOff>
    </xdr:to>
    <xdr:pic>
      <xdr:nvPicPr>
        <xdr:cNvPr id="6" name="Imagen 5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43600" y="1361352"/>
          <a:ext cx="1680210" cy="513167"/>
        </a:xfrm>
        <a:prstGeom prst="rect">
          <a:avLst/>
        </a:prstGeom>
      </xdr:spPr>
    </xdr:pic>
    <xdr:clientData/>
  </xdr:twoCellAnchor>
  <xdr:twoCellAnchor editAs="oneCell">
    <xdr:from>
      <xdr:col>2</xdr:col>
      <xdr:colOff>1089660</xdr:colOff>
      <xdr:row>31</xdr:row>
      <xdr:rowOff>170340</xdr:rowOff>
    </xdr:from>
    <xdr:to>
      <xdr:col>3</xdr:col>
      <xdr:colOff>754379</xdr:colOff>
      <xdr:row>45</xdr:row>
      <xdr:rowOff>91417</xdr:rowOff>
    </xdr:to>
    <xdr:pic>
      <xdr:nvPicPr>
        <xdr:cNvPr id="8" name="Imagen 7"/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86100" y="6997860"/>
          <a:ext cx="2407919" cy="2694757"/>
        </a:xfrm>
        <a:prstGeom prst="rect">
          <a:avLst/>
        </a:prstGeom>
      </xdr:spPr>
    </xdr:pic>
    <xdr:clientData/>
  </xdr:twoCellAnchor>
  <xdr:twoCellAnchor>
    <xdr:from>
      <xdr:col>2</xdr:col>
      <xdr:colOff>1196340</xdr:colOff>
      <xdr:row>45</xdr:row>
      <xdr:rowOff>121920</xdr:rowOff>
    </xdr:from>
    <xdr:to>
      <xdr:col>3</xdr:col>
      <xdr:colOff>845820</xdr:colOff>
      <xdr:row>45</xdr:row>
      <xdr:rowOff>121920</xdr:rowOff>
    </xdr:to>
    <xdr:cxnSp macro="">
      <xdr:nvCxnSpPr>
        <xdr:cNvPr id="10" name="Conector recto de flecha 9"/>
        <xdr:cNvCxnSpPr/>
      </xdr:nvCxnSpPr>
      <xdr:spPr>
        <a:xfrm>
          <a:off x="3192780" y="9723120"/>
          <a:ext cx="2392680" cy="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91440</xdr:colOff>
      <xdr:row>32</xdr:row>
      <xdr:rowOff>106680</xdr:rowOff>
    </xdr:from>
    <xdr:to>
      <xdr:col>4</xdr:col>
      <xdr:colOff>91440</xdr:colOff>
      <xdr:row>44</xdr:row>
      <xdr:rowOff>38100</xdr:rowOff>
    </xdr:to>
    <xdr:cxnSp macro="">
      <xdr:nvCxnSpPr>
        <xdr:cNvPr id="12" name="Conector recto de flecha 11"/>
        <xdr:cNvCxnSpPr/>
      </xdr:nvCxnSpPr>
      <xdr:spPr>
        <a:xfrm flipV="1">
          <a:off x="5699760" y="7132320"/>
          <a:ext cx="0" cy="230886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40</xdr:row>
      <xdr:rowOff>0</xdr:rowOff>
    </xdr:from>
    <xdr:ext cx="3676650" cy="17621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SpPr/>
      </xdr:nvSpPr>
      <xdr:spPr>
        <a:xfrm>
          <a:off x="885825" y="8172450"/>
          <a:ext cx="3744416" cy="2160240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104775</xdr:colOff>
      <xdr:row>40</xdr:row>
      <xdr:rowOff>0</xdr:rowOff>
    </xdr:from>
    <xdr:ext cx="0" cy="17621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SpPr/>
      </xdr:nvSpPr>
      <xdr:spPr>
        <a:xfrm>
          <a:off x="2109961" y="8172450"/>
          <a:ext cx="0" cy="216024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466725</xdr:colOff>
      <xdr:row>39</xdr:row>
      <xdr:rowOff>219075</xdr:rowOff>
    </xdr:from>
    <xdr:ext cx="0" cy="171450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0400-000004000000}"/>
            </a:ext>
          </a:extLst>
        </xdr:cNvPr>
        <xdr:cNvSpPr/>
      </xdr:nvSpPr>
      <xdr:spPr>
        <a:xfrm>
          <a:off x="3406105" y="8149056"/>
          <a:ext cx="0" cy="216024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323850</xdr:colOff>
      <xdr:row>44</xdr:row>
      <xdr:rowOff>19050</xdr:rowOff>
    </xdr:from>
    <xdr:ext cx="933450" cy="0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0400-000005000000}"/>
            </a:ext>
          </a:extLst>
        </xdr:cNvPr>
        <xdr:cNvCxnSpPr/>
      </xdr:nvCxnSpPr>
      <xdr:spPr>
        <a:xfrm flipH="1">
          <a:off x="2325985" y="9229176"/>
          <a:ext cx="93610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142875</xdr:colOff>
      <xdr:row>44</xdr:row>
      <xdr:rowOff>19050</xdr:rowOff>
    </xdr:from>
    <xdr:ext cx="933450" cy="0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0400-000006000000}"/>
            </a:ext>
          </a:extLst>
        </xdr:cNvPr>
        <xdr:cNvCxnSpPr/>
      </xdr:nvCxnSpPr>
      <xdr:spPr>
        <a:xfrm flipH="1">
          <a:off x="1029841" y="9229176"/>
          <a:ext cx="93610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34</xdr:row>
      <xdr:rowOff>0</xdr:rowOff>
    </xdr:from>
    <xdr:ext cx="3524250" cy="1295400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SpPr/>
      </xdr:nvSpPr>
      <xdr:spPr>
        <a:xfrm>
          <a:off x="1133475" y="7229475"/>
          <a:ext cx="3528392" cy="1656184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857250</xdr:colOff>
      <xdr:row>34</xdr:row>
      <xdr:rowOff>0</xdr:rowOff>
    </xdr:from>
    <xdr:ext cx="0" cy="1295400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0700-000003000000}"/>
            </a:ext>
          </a:extLst>
        </xdr:cNvPr>
        <xdr:cNvSpPr/>
      </xdr:nvSpPr>
      <xdr:spPr>
        <a:xfrm>
          <a:off x="1997571" y="7229475"/>
          <a:ext cx="0" cy="1656184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0</xdr:colOff>
      <xdr:row>34</xdr:row>
      <xdr:rowOff>0</xdr:rowOff>
    </xdr:from>
    <xdr:ext cx="0" cy="129540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0700-000004000000}"/>
            </a:ext>
          </a:extLst>
        </xdr:cNvPr>
        <xdr:cNvSpPr/>
      </xdr:nvSpPr>
      <xdr:spPr>
        <a:xfrm>
          <a:off x="2897671" y="7229475"/>
          <a:ext cx="0" cy="1656184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4</xdr:col>
      <xdr:colOff>9525</xdr:colOff>
      <xdr:row>34</xdr:row>
      <xdr:rowOff>0</xdr:rowOff>
    </xdr:from>
    <xdr:ext cx="0" cy="1295400"/>
    <xdr:sp macro="" textlink="">
      <xdr:nvSpPr>
        <xdr:cNvPr id="5" name="line">
          <a:extLst>
            <a:ext uri="{FF2B5EF4-FFF2-40B4-BE49-F238E27FC236}">
              <a16:creationId xmlns:a16="http://schemas.microsoft.com/office/drawing/2014/main" xmlns="" id="{00000000-0008-0000-0700-000005000000}"/>
            </a:ext>
          </a:extLst>
        </xdr:cNvPr>
        <xdr:cNvSpPr/>
      </xdr:nvSpPr>
      <xdr:spPr>
        <a:xfrm>
          <a:off x="3797771" y="7229475"/>
          <a:ext cx="0" cy="1656184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1076325</xdr:colOff>
      <xdr:row>37</xdr:row>
      <xdr:rowOff>47625</xdr:rowOff>
    </xdr:from>
    <xdr:ext cx="581025" cy="0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0700-000006000000}"/>
            </a:ext>
          </a:extLst>
        </xdr:cNvPr>
        <xdr:cNvCxnSpPr/>
      </xdr:nvCxnSpPr>
      <xdr:spPr>
        <a:xfrm>
          <a:off x="2213595" y="8057567"/>
          <a:ext cx="57606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3</xdr:col>
      <xdr:colOff>85725</xdr:colOff>
      <xdr:row>37</xdr:row>
      <xdr:rowOff>47625</xdr:rowOff>
    </xdr:from>
    <xdr:ext cx="590550" cy="0"/>
    <xdr:cxnSp macro="">
      <xdr:nvCxnSpPr>
        <xdr:cNvPr id="7" name="straightConnector1">
          <a:extLst>
            <a:ext uri="{FF2B5EF4-FFF2-40B4-BE49-F238E27FC236}">
              <a16:creationId xmlns:a16="http://schemas.microsoft.com/office/drawing/2014/main" xmlns="" id="{00000000-0008-0000-0700-000007000000}"/>
            </a:ext>
          </a:extLst>
        </xdr:cNvPr>
        <xdr:cNvCxnSpPr/>
      </xdr:nvCxnSpPr>
      <xdr:spPr>
        <a:xfrm flipH="1">
          <a:off x="2991112" y="8057567"/>
          <a:ext cx="596957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32</xdr:row>
      <xdr:rowOff>0</xdr:rowOff>
    </xdr:from>
    <xdr:ext cx="2038350" cy="14573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800-000002000000}"/>
            </a:ext>
          </a:extLst>
        </xdr:cNvPr>
        <xdr:cNvSpPr/>
      </xdr:nvSpPr>
      <xdr:spPr>
        <a:xfrm>
          <a:off x="1981200" y="6648450"/>
          <a:ext cx="2232248" cy="1872208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352425</xdr:colOff>
      <xdr:row>32</xdr:row>
      <xdr:rowOff>0</xdr:rowOff>
    </xdr:from>
    <xdr:ext cx="0" cy="14573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0800-000003000000}"/>
            </a:ext>
          </a:extLst>
        </xdr:cNvPr>
        <xdr:cNvSpPr/>
      </xdr:nvSpPr>
      <xdr:spPr>
        <a:xfrm>
          <a:off x="3097324" y="6648450"/>
          <a:ext cx="0" cy="1872208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523875</xdr:colOff>
      <xdr:row>35</xdr:row>
      <xdr:rowOff>142875</xdr:rowOff>
    </xdr:from>
    <xdr:ext cx="800100" cy="0"/>
    <xdr:cxnSp macro="">
      <xdr:nvCxnSpPr>
        <xdr:cNvPr id="4" name="straightConnector1">
          <a:extLst>
            <a:ext uri="{FF2B5EF4-FFF2-40B4-BE49-F238E27FC236}">
              <a16:creationId xmlns:a16="http://schemas.microsoft.com/office/drawing/2014/main" xmlns="" id="{00000000-0008-0000-0800-000004000000}"/>
            </a:ext>
          </a:extLst>
        </xdr:cNvPr>
        <xdr:cNvCxnSpPr/>
      </xdr:nvCxnSpPr>
      <xdr:spPr>
        <a:xfrm>
          <a:off x="3277344" y="7584554"/>
          <a:ext cx="792088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39</xdr:row>
      <xdr:rowOff>0</xdr:rowOff>
    </xdr:from>
    <xdr:ext cx="3276600" cy="17621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/>
      </xdr:nvSpPr>
      <xdr:spPr>
        <a:xfrm>
          <a:off x="2066925" y="8010525"/>
          <a:ext cx="3744416" cy="2160240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457200</xdr:colOff>
      <xdr:row>39</xdr:row>
      <xdr:rowOff>0</xdr:rowOff>
    </xdr:from>
    <xdr:ext cx="0" cy="17621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SpPr/>
      </xdr:nvSpPr>
      <xdr:spPr>
        <a:xfrm>
          <a:off x="3291061" y="8010525"/>
          <a:ext cx="0" cy="216024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4</xdr:col>
      <xdr:colOff>552450</xdr:colOff>
      <xdr:row>38</xdr:row>
      <xdr:rowOff>219075</xdr:rowOff>
    </xdr:from>
    <xdr:ext cx="0" cy="171450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0900-000004000000}"/>
            </a:ext>
          </a:extLst>
        </xdr:cNvPr>
        <xdr:cNvSpPr/>
      </xdr:nvSpPr>
      <xdr:spPr>
        <a:xfrm>
          <a:off x="4587205" y="7987131"/>
          <a:ext cx="0" cy="216024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676275</xdr:colOff>
      <xdr:row>43</xdr:row>
      <xdr:rowOff>19050</xdr:rowOff>
    </xdr:from>
    <xdr:ext cx="942975" cy="0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CxnSpPr/>
      </xdr:nvCxnSpPr>
      <xdr:spPr>
        <a:xfrm flipH="1">
          <a:off x="3507085" y="9067251"/>
          <a:ext cx="93610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2</xdr:col>
      <xdr:colOff>133350</xdr:colOff>
      <xdr:row>43</xdr:row>
      <xdr:rowOff>9525</xdr:rowOff>
    </xdr:from>
    <xdr:ext cx="742950" cy="0"/>
    <xdr:cxnSp macro="">
      <xdr:nvCxnSpPr>
        <xdr:cNvPr id="7" name="straightConnector1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CxnSpPr/>
      </xdr:nvCxnSpPr>
      <xdr:spPr>
        <a:xfrm flipH="1">
          <a:off x="2562225" y="9344025"/>
          <a:ext cx="93610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33</xdr:row>
      <xdr:rowOff>0</xdr:rowOff>
    </xdr:from>
    <xdr:ext cx="3933825" cy="1657350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/>
      </xdr:nvSpPr>
      <xdr:spPr>
        <a:xfrm>
          <a:off x="1257300" y="6972300"/>
          <a:ext cx="4324350" cy="2057400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1009650</xdr:colOff>
      <xdr:row>33</xdr:row>
      <xdr:rowOff>0</xdr:rowOff>
    </xdr:from>
    <xdr:ext cx="0" cy="1619250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/>
      </xdr:nvSpPr>
      <xdr:spPr>
        <a:xfrm flipH="1">
          <a:off x="2276475" y="6972300"/>
          <a:ext cx="6847" cy="201930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161925</xdr:colOff>
      <xdr:row>33</xdr:row>
      <xdr:rowOff>0</xdr:rowOff>
    </xdr:from>
    <xdr:ext cx="0" cy="165735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0B00-000004000000}"/>
            </a:ext>
          </a:extLst>
        </xdr:cNvPr>
        <xdr:cNvSpPr/>
      </xdr:nvSpPr>
      <xdr:spPr>
        <a:xfrm>
          <a:off x="3419475" y="6972300"/>
          <a:ext cx="0" cy="205740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4</xdr:col>
      <xdr:colOff>180975</xdr:colOff>
      <xdr:row>33</xdr:row>
      <xdr:rowOff>28575</xdr:rowOff>
    </xdr:from>
    <xdr:ext cx="0" cy="1647825"/>
    <xdr:sp macro="" textlink="">
      <xdr:nvSpPr>
        <xdr:cNvPr id="5" name="line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SpPr/>
      </xdr:nvSpPr>
      <xdr:spPr>
        <a:xfrm flipH="1">
          <a:off x="4524375" y="7010400"/>
          <a:ext cx="6821" cy="2047875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200025</xdr:colOff>
      <xdr:row>36</xdr:row>
      <xdr:rowOff>200025</xdr:rowOff>
    </xdr:from>
    <xdr:ext cx="390525" cy="0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CxnSpPr/>
      </xdr:nvCxnSpPr>
      <xdr:spPr>
        <a:xfrm>
          <a:off x="2689845" y="7952792"/>
          <a:ext cx="57606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3</xdr:col>
      <xdr:colOff>352425</xdr:colOff>
      <xdr:row>36</xdr:row>
      <xdr:rowOff>209550</xdr:rowOff>
    </xdr:from>
    <xdr:ext cx="590550" cy="0"/>
    <xdr:cxnSp macro="">
      <xdr:nvCxnSpPr>
        <xdr:cNvPr id="7" name="straightConnector1">
          <a:extLst>
            <a:ext uri="{FF2B5EF4-FFF2-40B4-BE49-F238E27FC236}">
              <a16:creationId xmlns:a16="http://schemas.microsoft.com/office/drawing/2014/main" xmlns="" id="{00000000-0008-0000-0B00-000007000000}"/>
            </a:ext>
          </a:extLst>
        </xdr:cNvPr>
        <xdr:cNvCxnSpPr/>
      </xdr:nvCxnSpPr>
      <xdr:spPr>
        <a:xfrm flipH="1">
          <a:off x="3610237" y="7971842"/>
          <a:ext cx="596957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37</xdr:row>
      <xdr:rowOff>0</xdr:rowOff>
    </xdr:from>
    <xdr:ext cx="1257300" cy="242887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E00-000002000000}"/>
            </a:ext>
          </a:extLst>
        </xdr:cNvPr>
        <xdr:cNvSpPr/>
      </xdr:nvSpPr>
      <xdr:spPr>
        <a:xfrm>
          <a:off x="1990725" y="7915275"/>
          <a:ext cx="1260140" cy="2448272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0</xdr:colOff>
      <xdr:row>42</xdr:row>
      <xdr:rowOff>142875</xdr:rowOff>
    </xdr:from>
    <xdr:ext cx="66675" cy="581025"/>
    <xdr:sp macro="" textlink="">
      <xdr:nvSpPr>
        <xdr:cNvPr id="3" name="round2SameRect">
          <a:extLst>
            <a:ext uri="{FF2B5EF4-FFF2-40B4-BE49-F238E27FC236}">
              <a16:creationId xmlns:a16="http://schemas.microsoft.com/office/drawing/2014/main" xmlns="" id="{00000000-0008-0000-0E00-000003000000}"/>
            </a:ext>
          </a:extLst>
        </xdr:cNvPr>
        <xdr:cNvSpPr/>
      </xdr:nvSpPr>
      <xdr:spPr>
        <a:xfrm>
          <a:off x="3174597" y="9074063"/>
          <a:ext cx="72008" cy="576064"/>
        </a:xfrm>
        <a:prstGeom prst="round2SameRect">
          <a:avLst/>
        </a:prstGeom>
        <a:solidFill>
          <a:srgbClr val="000000"/>
        </a:solidFill>
        <a:ln w="127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9525</xdr:colOff>
      <xdr:row>44</xdr:row>
      <xdr:rowOff>123825</xdr:rowOff>
    </xdr:from>
    <xdr:ext cx="1238250" cy="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0E00-000004000000}"/>
            </a:ext>
          </a:extLst>
        </xdr:cNvPr>
        <xdr:cNvSpPr/>
      </xdr:nvSpPr>
      <xdr:spPr>
        <a:xfrm>
          <a:off x="2008727" y="9442521"/>
          <a:ext cx="1242138" cy="0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47625</xdr:colOff>
      <xdr:row>37</xdr:row>
      <xdr:rowOff>9525</xdr:rowOff>
    </xdr:from>
    <xdr:ext cx="1200150" cy="1504950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0E00-000005000000}"/>
            </a:ext>
          </a:extLst>
        </xdr:cNvPr>
        <xdr:cNvCxnSpPr/>
      </xdr:nvCxnSpPr>
      <xdr:spPr>
        <a:xfrm>
          <a:off x="2047689" y="7930353"/>
          <a:ext cx="1203176" cy="1512168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9525</xdr:colOff>
      <xdr:row>44</xdr:row>
      <xdr:rowOff>95250</xdr:rowOff>
    </xdr:from>
    <xdr:ext cx="1238250" cy="942975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0E00-000006000000}"/>
            </a:ext>
          </a:extLst>
        </xdr:cNvPr>
        <xdr:cNvCxnSpPr/>
      </xdr:nvCxnSpPr>
      <xdr:spPr>
        <a:xfrm flipV="1">
          <a:off x="2008727" y="9427443"/>
          <a:ext cx="1242138" cy="936104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37</xdr:row>
      <xdr:rowOff>0</xdr:rowOff>
    </xdr:from>
    <xdr:ext cx="2686050" cy="24479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0F00-000002000000}"/>
            </a:ext>
          </a:extLst>
        </xdr:cNvPr>
        <xdr:cNvSpPr/>
      </xdr:nvSpPr>
      <xdr:spPr>
        <a:xfrm>
          <a:off x="1990725" y="7905750"/>
          <a:ext cx="2520280" cy="2448272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19050</xdr:colOff>
      <xdr:row>37</xdr:row>
      <xdr:rowOff>0</xdr:rowOff>
    </xdr:from>
    <xdr:ext cx="0" cy="24479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0F00-000003000000}"/>
            </a:ext>
          </a:extLst>
        </xdr:cNvPr>
        <xdr:cNvSpPr/>
      </xdr:nvSpPr>
      <xdr:spPr>
        <a:xfrm>
          <a:off x="3193901" y="7905750"/>
          <a:ext cx="0" cy="2448272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114300</xdr:colOff>
      <xdr:row>44</xdr:row>
      <xdr:rowOff>95250</xdr:rowOff>
    </xdr:from>
    <xdr:ext cx="1228725" cy="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0F00-000004000000}"/>
            </a:ext>
          </a:extLst>
        </xdr:cNvPr>
        <xdr:cNvSpPr/>
      </xdr:nvSpPr>
      <xdr:spPr>
        <a:xfrm>
          <a:off x="3290182" y="9417918"/>
          <a:ext cx="1220823" cy="0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0</xdr:colOff>
      <xdr:row>44</xdr:row>
      <xdr:rowOff>95250</xdr:rowOff>
    </xdr:from>
    <xdr:ext cx="1409700" cy="0"/>
    <xdr:sp macro="" textlink="">
      <xdr:nvSpPr>
        <xdr:cNvPr id="5" name="line">
          <a:extLst>
            <a:ext uri="{FF2B5EF4-FFF2-40B4-BE49-F238E27FC236}">
              <a16:creationId xmlns:a16="http://schemas.microsoft.com/office/drawing/2014/main" xmlns="" id="{00000000-0008-0000-0F00-000005000000}"/>
            </a:ext>
          </a:extLst>
        </xdr:cNvPr>
        <xdr:cNvSpPr/>
      </xdr:nvSpPr>
      <xdr:spPr>
        <a:xfrm>
          <a:off x="1990725" y="9417918"/>
          <a:ext cx="1242138" cy="0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114300</xdr:colOff>
      <xdr:row>37</xdr:row>
      <xdr:rowOff>0</xdr:rowOff>
    </xdr:from>
    <xdr:ext cx="1228725" cy="1495425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0F00-000006000000}"/>
            </a:ext>
          </a:extLst>
        </xdr:cNvPr>
        <xdr:cNvCxnSpPr/>
      </xdr:nvCxnSpPr>
      <xdr:spPr>
        <a:xfrm flipH="1">
          <a:off x="3290182" y="7905750"/>
          <a:ext cx="1220824" cy="1512168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0</xdr:colOff>
      <xdr:row>37</xdr:row>
      <xdr:rowOff>0</xdr:rowOff>
    </xdr:from>
    <xdr:ext cx="1371600" cy="1495425"/>
    <xdr:cxnSp macro="">
      <xdr:nvCxnSpPr>
        <xdr:cNvPr id="7" name="straightConnector1">
          <a:extLst>
            <a:ext uri="{FF2B5EF4-FFF2-40B4-BE49-F238E27FC236}">
              <a16:creationId xmlns:a16="http://schemas.microsoft.com/office/drawing/2014/main" xmlns="" id="{00000000-0008-0000-0F00-000007000000}"/>
            </a:ext>
          </a:extLst>
        </xdr:cNvPr>
        <xdr:cNvCxnSpPr/>
      </xdr:nvCxnSpPr>
      <xdr:spPr>
        <a:xfrm>
          <a:off x="1990725" y="7905750"/>
          <a:ext cx="1203176" cy="1512168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2</xdr:col>
      <xdr:colOff>152400</xdr:colOff>
      <xdr:row>44</xdr:row>
      <xdr:rowOff>95250</xdr:rowOff>
    </xdr:from>
    <xdr:ext cx="1190625" cy="952500"/>
    <xdr:cxnSp macro="">
      <xdr:nvCxnSpPr>
        <xdr:cNvPr id="8" name="straightConnector1">
          <a:extLst>
            <a:ext uri="{FF2B5EF4-FFF2-40B4-BE49-F238E27FC236}">
              <a16:creationId xmlns:a16="http://schemas.microsoft.com/office/drawing/2014/main" xmlns="" id="{00000000-0008-0000-0F00-000008000000}"/>
            </a:ext>
          </a:extLst>
        </xdr:cNvPr>
        <xdr:cNvCxnSpPr/>
      </xdr:nvCxnSpPr>
      <xdr:spPr>
        <a:xfrm flipH="1" flipV="1">
          <a:off x="3326186" y="9417918"/>
          <a:ext cx="1184820" cy="936104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0</xdr:colOff>
      <xdr:row>44</xdr:row>
      <xdr:rowOff>95250</xdr:rowOff>
    </xdr:from>
    <xdr:ext cx="1352550" cy="952500"/>
    <xdr:cxnSp macro="">
      <xdr:nvCxnSpPr>
        <xdr:cNvPr id="9" name="straightConnector1">
          <a:extLst>
            <a:ext uri="{FF2B5EF4-FFF2-40B4-BE49-F238E27FC236}">
              <a16:creationId xmlns:a16="http://schemas.microsoft.com/office/drawing/2014/main" xmlns="" id="{00000000-0008-0000-0F00-000009000000}"/>
            </a:ext>
          </a:extLst>
        </xdr:cNvPr>
        <xdr:cNvCxnSpPr/>
      </xdr:nvCxnSpPr>
      <xdr:spPr>
        <a:xfrm flipV="1">
          <a:off x="1990725" y="9417918"/>
          <a:ext cx="1181337" cy="936104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2</xdr:col>
      <xdr:colOff>114300</xdr:colOff>
      <xdr:row>37</xdr:row>
      <xdr:rowOff>0</xdr:rowOff>
    </xdr:from>
    <xdr:ext cx="0" cy="2447925"/>
    <xdr:sp macro="" textlink="">
      <xdr:nvSpPr>
        <xdr:cNvPr id="10" name="line">
          <a:extLst>
            <a:ext uri="{FF2B5EF4-FFF2-40B4-BE49-F238E27FC236}">
              <a16:creationId xmlns:a16="http://schemas.microsoft.com/office/drawing/2014/main" xmlns="" id="{00000000-0008-0000-0F00-00000A000000}"/>
            </a:ext>
          </a:extLst>
        </xdr:cNvPr>
        <xdr:cNvSpPr/>
      </xdr:nvSpPr>
      <xdr:spPr>
        <a:xfrm>
          <a:off x="3290182" y="7905750"/>
          <a:ext cx="0" cy="2448272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152400</xdr:colOff>
      <xdr:row>43</xdr:row>
      <xdr:rowOff>9525</xdr:rowOff>
    </xdr:from>
    <xdr:ext cx="66675" cy="571500"/>
    <xdr:sp macro="" textlink="">
      <xdr:nvSpPr>
        <xdr:cNvPr id="11" name="round2SameRect">
          <a:extLst>
            <a:ext uri="{FF2B5EF4-FFF2-40B4-BE49-F238E27FC236}">
              <a16:creationId xmlns:a16="http://schemas.microsoft.com/office/drawing/2014/main" xmlns="" id="{00000000-0008-0000-0F00-00000B000000}"/>
            </a:ext>
          </a:extLst>
        </xdr:cNvPr>
        <xdr:cNvSpPr/>
      </xdr:nvSpPr>
      <xdr:spPr>
        <a:xfrm>
          <a:off x="3326186" y="9129886"/>
          <a:ext cx="72008" cy="576064"/>
        </a:xfrm>
        <a:prstGeom prst="round2SameRect">
          <a:avLst/>
        </a:prstGeom>
        <a:solidFill>
          <a:srgbClr val="000000"/>
        </a:solidFill>
        <a:ln w="127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1104900</xdr:colOff>
      <xdr:row>43</xdr:row>
      <xdr:rowOff>9525</xdr:rowOff>
    </xdr:from>
    <xdr:ext cx="247650" cy="571500"/>
    <xdr:sp macro="" textlink="">
      <xdr:nvSpPr>
        <xdr:cNvPr id="12" name="round2SameRect">
          <a:extLst>
            <a:ext uri="{FF2B5EF4-FFF2-40B4-BE49-F238E27FC236}">
              <a16:creationId xmlns:a16="http://schemas.microsoft.com/office/drawing/2014/main" xmlns="" id="{00000000-0008-0000-0F00-00000C000000}"/>
            </a:ext>
          </a:extLst>
        </xdr:cNvPr>
        <xdr:cNvSpPr/>
      </xdr:nvSpPr>
      <xdr:spPr>
        <a:xfrm>
          <a:off x="3100054" y="9129886"/>
          <a:ext cx="72008" cy="576064"/>
        </a:xfrm>
        <a:prstGeom prst="round2SameRect">
          <a:avLst/>
        </a:prstGeom>
        <a:solidFill>
          <a:srgbClr val="000000"/>
        </a:solidFill>
        <a:ln w="127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35</xdr:row>
      <xdr:rowOff>0</xdr:rowOff>
    </xdr:from>
    <xdr:ext cx="1257300" cy="242887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000-000002000000}"/>
            </a:ext>
          </a:extLst>
        </xdr:cNvPr>
        <xdr:cNvSpPr/>
      </xdr:nvSpPr>
      <xdr:spPr>
        <a:xfrm>
          <a:off x="1924050" y="7486650"/>
          <a:ext cx="1260140" cy="2448272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1181100</xdr:colOff>
      <xdr:row>40</xdr:row>
      <xdr:rowOff>142875</xdr:rowOff>
    </xdr:from>
    <xdr:ext cx="66675" cy="581025"/>
    <xdr:sp macro="" textlink="">
      <xdr:nvSpPr>
        <xdr:cNvPr id="3" name="round2SameRect">
          <a:extLst>
            <a:ext uri="{FF2B5EF4-FFF2-40B4-BE49-F238E27FC236}">
              <a16:creationId xmlns:a16="http://schemas.microsoft.com/office/drawing/2014/main" xmlns="" id="{00000000-0008-0000-1000-000003000000}"/>
            </a:ext>
          </a:extLst>
        </xdr:cNvPr>
        <xdr:cNvSpPr/>
      </xdr:nvSpPr>
      <xdr:spPr>
        <a:xfrm>
          <a:off x="3107922" y="8645438"/>
          <a:ext cx="72008" cy="576064"/>
        </a:xfrm>
        <a:prstGeom prst="round2SameRect">
          <a:avLst/>
        </a:prstGeom>
        <a:solidFill>
          <a:srgbClr val="000000"/>
        </a:solidFill>
        <a:ln w="127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9525</xdr:colOff>
      <xdr:row>42</xdr:row>
      <xdr:rowOff>123825</xdr:rowOff>
    </xdr:from>
    <xdr:ext cx="1238250" cy="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1000-000004000000}"/>
            </a:ext>
          </a:extLst>
        </xdr:cNvPr>
        <xdr:cNvSpPr/>
      </xdr:nvSpPr>
      <xdr:spPr>
        <a:xfrm>
          <a:off x="1942052" y="9013896"/>
          <a:ext cx="1242138" cy="0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47625</xdr:colOff>
      <xdr:row>35</xdr:row>
      <xdr:rowOff>9525</xdr:rowOff>
    </xdr:from>
    <xdr:ext cx="1200150" cy="1504950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1000-000005000000}"/>
            </a:ext>
          </a:extLst>
        </xdr:cNvPr>
        <xdr:cNvCxnSpPr/>
      </xdr:nvCxnSpPr>
      <xdr:spPr>
        <a:xfrm>
          <a:off x="1981014" y="7501728"/>
          <a:ext cx="1203176" cy="1512168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9525</xdr:colOff>
      <xdr:row>42</xdr:row>
      <xdr:rowOff>95250</xdr:rowOff>
    </xdr:from>
    <xdr:ext cx="1238250" cy="942975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1000-000006000000}"/>
            </a:ext>
          </a:extLst>
        </xdr:cNvPr>
        <xdr:cNvCxnSpPr/>
      </xdr:nvCxnSpPr>
      <xdr:spPr>
        <a:xfrm flipV="1">
          <a:off x="1942052" y="8998818"/>
          <a:ext cx="1242138" cy="936104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34</xdr:row>
      <xdr:rowOff>0</xdr:rowOff>
    </xdr:from>
    <xdr:ext cx="2514600" cy="24479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100-000002000000}"/>
            </a:ext>
          </a:extLst>
        </xdr:cNvPr>
        <xdr:cNvSpPr/>
      </xdr:nvSpPr>
      <xdr:spPr>
        <a:xfrm>
          <a:off x="1905000" y="7229475"/>
          <a:ext cx="2520280" cy="2448272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19050</xdr:colOff>
      <xdr:row>34</xdr:row>
      <xdr:rowOff>0</xdr:rowOff>
    </xdr:from>
    <xdr:ext cx="0" cy="24479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1100-000003000000}"/>
            </a:ext>
          </a:extLst>
        </xdr:cNvPr>
        <xdr:cNvSpPr/>
      </xdr:nvSpPr>
      <xdr:spPr>
        <a:xfrm>
          <a:off x="3108176" y="7229475"/>
          <a:ext cx="0" cy="2448272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114300</xdr:colOff>
      <xdr:row>41</xdr:row>
      <xdr:rowOff>95250</xdr:rowOff>
    </xdr:from>
    <xdr:ext cx="1219200" cy="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1100-000004000000}"/>
            </a:ext>
          </a:extLst>
        </xdr:cNvPr>
        <xdr:cNvSpPr/>
      </xdr:nvSpPr>
      <xdr:spPr>
        <a:xfrm>
          <a:off x="3204457" y="8741643"/>
          <a:ext cx="1220823" cy="0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0</xdr:colOff>
      <xdr:row>41</xdr:row>
      <xdr:rowOff>95250</xdr:rowOff>
    </xdr:from>
    <xdr:ext cx="1238250" cy="0"/>
    <xdr:sp macro="" textlink="">
      <xdr:nvSpPr>
        <xdr:cNvPr id="5" name="line">
          <a:extLst>
            <a:ext uri="{FF2B5EF4-FFF2-40B4-BE49-F238E27FC236}">
              <a16:creationId xmlns:a16="http://schemas.microsoft.com/office/drawing/2014/main" xmlns="" id="{00000000-0008-0000-1100-000005000000}"/>
            </a:ext>
          </a:extLst>
        </xdr:cNvPr>
        <xdr:cNvSpPr/>
      </xdr:nvSpPr>
      <xdr:spPr>
        <a:xfrm>
          <a:off x="1905000" y="8741643"/>
          <a:ext cx="1242138" cy="0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114300</xdr:colOff>
      <xdr:row>34</xdr:row>
      <xdr:rowOff>0</xdr:rowOff>
    </xdr:from>
    <xdr:ext cx="1219200" cy="1495425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1100-000006000000}"/>
            </a:ext>
          </a:extLst>
        </xdr:cNvPr>
        <xdr:cNvCxnSpPr/>
      </xdr:nvCxnSpPr>
      <xdr:spPr>
        <a:xfrm flipH="1">
          <a:off x="3204457" y="7229475"/>
          <a:ext cx="1220824" cy="1512168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0</xdr:colOff>
      <xdr:row>34</xdr:row>
      <xdr:rowOff>0</xdr:rowOff>
    </xdr:from>
    <xdr:ext cx="1228725" cy="1504950"/>
    <xdr:cxnSp macro="">
      <xdr:nvCxnSpPr>
        <xdr:cNvPr id="7" name="straightConnector1">
          <a:extLst>
            <a:ext uri="{FF2B5EF4-FFF2-40B4-BE49-F238E27FC236}">
              <a16:creationId xmlns:a16="http://schemas.microsoft.com/office/drawing/2014/main" xmlns="" id="{00000000-0008-0000-1100-000007000000}"/>
            </a:ext>
          </a:extLst>
        </xdr:cNvPr>
        <xdr:cNvCxnSpPr/>
      </xdr:nvCxnSpPr>
      <xdr:spPr>
        <a:xfrm>
          <a:off x="1905000" y="7229475"/>
          <a:ext cx="1238250" cy="1514475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2</xdr:col>
      <xdr:colOff>152400</xdr:colOff>
      <xdr:row>41</xdr:row>
      <xdr:rowOff>95250</xdr:rowOff>
    </xdr:from>
    <xdr:ext cx="1181100" cy="952500"/>
    <xdr:cxnSp macro="">
      <xdr:nvCxnSpPr>
        <xdr:cNvPr id="8" name="straightConnector1">
          <a:extLst>
            <a:ext uri="{FF2B5EF4-FFF2-40B4-BE49-F238E27FC236}">
              <a16:creationId xmlns:a16="http://schemas.microsoft.com/office/drawing/2014/main" xmlns="" id="{00000000-0008-0000-1100-000008000000}"/>
            </a:ext>
          </a:extLst>
        </xdr:cNvPr>
        <xdr:cNvCxnSpPr/>
      </xdr:nvCxnSpPr>
      <xdr:spPr>
        <a:xfrm flipH="1" flipV="1">
          <a:off x="3240461" y="8741643"/>
          <a:ext cx="1184820" cy="936104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0</xdr:colOff>
      <xdr:row>41</xdr:row>
      <xdr:rowOff>95250</xdr:rowOff>
    </xdr:from>
    <xdr:ext cx="1181100" cy="952500"/>
    <xdr:cxnSp macro="">
      <xdr:nvCxnSpPr>
        <xdr:cNvPr id="9" name="straightConnector1">
          <a:extLst>
            <a:ext uri="{FF2B5EF4-FFF2-40B4-BE49-F238E27FC236}">
              <a16:creationId xmlns:a16="http://schemas.microsoft.com/office/drawing/2014/main" xmlns="" id="{00000000-0008-0000-1100-000009000000}"/>
            </a:ext>
          </a:extLst>
        </xdr:cNvPr>
        <xdr:cNvCxnSpPr/>
      </xdr:nvCxnSpPr>
      <xdr:spPr>
        <a:xfrm flipV="1">
          <a:off x="1905000" y="8741643"/>
          <a:ext cx="1181337" cy="936104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2</xdr:col>
      <xdr:colOff>114300</xdr:colOff>
      <xdr:row>34</xdr:row>
      <xdr:rowOff>0</xdr:rowOff>
    </xdr:from>
    <xdr:ext cx="0" cy="2447925"/>
    <xdr:sp macro="" textlink="">
      <xdr:nvSpPr>
        <xdr:cNvPr id="10" name="line">
          <a:extLst>
            <a:ext uri="{FF2B5EF4-FFF2-40B4-BE49-F238E27FC236}">
              <a16:creationId xmlns:a16="http://schemas.microsoft.com/office/drawing/2014/main" xmlns="" id="{00000000-0008-0000-1100-00000A000000}"/>
            </a:ext>
          </a:extLst>
        </xdr:cNvPr>
        <xdr:cNvSpPr/>
      </xdr:nvSpPr>
      <xdr:spPr>
        <a:xfrm>
          <a:off x="3204457" y="7229475"/>
          <a:ext cx="0" cy="2448272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152400</xdr:colOff>
      <xdr:row>40</xdr:row>
      <xdr:rowOff>9525</xdr:rowOff>
    </xdr:from>
    <xdr:ext cx="66675" cy="571500"/>
    <xdr:sp macro="" textlink="">
      <xdr:nvSpPr>
        <xdr:cNvPr id="11" name="round2SameRect">
          <a:extLst>
            <a:ext uri="{FF2B5EF4-FFF2-40B4-BE49-F238E27FC236}">
              <a16:creationId xmlns:a16="http://schemas.microsoft.com/office/drawing/2014/main" xmlns="" id="{00000000-0008-0000-1100-00000B000000}"/>
            </a:ext>
          </a:extLst>
        </xdr:cNvPr>
        <xdr:cNvSpPr/>
      </xdr:nvSpPr>
      <xdr:spPr>
        <a:xfrm>
          <a:off x="3240461" y="8453611"/>
          <a:ext cx="72008" cy="576064"/>
        </a:xfrm>
        <a:prstGeom prst="round2SameRect">
          <a:avLst/>
        </a:prstGeom>
        <a:solidFill>
          <a:srgbClr val="000000"/>
        </a:solidFill>
        <a:ln w="127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1104900</xdr:colOff>
      <xdr:row>40</xdr:row>
      <xdr:rowOff>9525</xdr:rowOff>
    </xdr:from>
    <xdr:ext cx="76200" cy="571500"/>
    <xdr:sp macro="" textlink="">
      <xdr:nvSpPr>
        <xdr:cNvPr id="12" name="round2SameRect">
          <a:extLst>
            <a:ext uri="{FF2B5EF4-FFF2-40B4-BE49-F238E27FC236}">
              <a16:creationId xmlns:a16="http://schemas.microsoft.com/office/drawing/2014/main" xmlns="" id="{00000000-0008-0000-1100-00000C000000}"/>
            </a:ext>
          </a:extLst>
        </xdr:cNvPr>
        <xdr:cNvSpPr/>
      </xdr:nvSpPr>
      <xdr:spPr>
        <a:xfrm>
          <a:off x="3014329" y="8453611"/>
          <a:ext cx="72008" cy="576064"/>
        </a:xfrm>
        <a:prstGeom prst="round2SameRect">
          <a:avLst/>
        </a:prstGeom>
        <a:solidFill>
          <a:srgbClr val="000000"/>
        </a:solidFill>
        <a:ln w="127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25</xdr:row>
      <xdr:rowOff>0</xdr:rowOff>
    </xdr:from>
    <xdr:ext cx="2152650" cy="1866900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200-000002000000}"/>
            </a:ext>
          </a:extLst>
        </xdr:cNvPr>
        <xdr:cNvSpPr/>
      </xdr:nvSpPr>
      <xdr:spPr>
        <a:xfrm>
          <a:off x="1133475" y="5486400"/>
          <a:ext cx="2160240" cy="1800200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35</xdr:row>
      <xdr:rowOff>0</xdr:rowOff>
    </xdr:from>
    <xdr:ext cx="2943225" cy="1866900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300-000002000000}"/>
            </a:ext>
          </a:extLst>
        </xdr:cNvPr>
        <xdr:cNvSpPr/>
      </xdr:nvSpPr>
      <xdr:spPr>
        <a:xfrm>
          <a:off x="1981200" y="7886700"/>
          <a:ext cx="2952328" cy="1800200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1000125</xdr:colOff>
      <xdr:row>35</xdr:row>
      <xdr:rowOff>0</xdr:rowOff>
    </xdr:from>
    <xdr:ext cx="0" cy="1866900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1300-000003000000}"/>
            </a:ext>
          </a:extLst>
        </xdr:cNvPr>
        <xdr:cNvSpPr/>
      </xdr:nvSpPr>
      <xdr:spPr>
        <a:xfrm>
          <a:off x="2989312" y="7886700"/>
          <a:ext cx="0" cy="180020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0</xdr:colOff>
      <xdr:row>35</xdr:row>
      <xdr:rowOff>0</xdr:rowOff>
    </xdr:from>
    <xdr:ext cx="1000125" cy="923925"/>
    <xdr:cxnSp macro="">
      <xdr:nvCxnSpPr>
        <xdr:cNvPr id="4" name="straightConnector1">
          <a:extLst>
            <a:ext uri="{FF2B5EF4-FFF2-40B4-BE49-F238E27FC236}">
              <a16:creationId xmlns:a16="http://schemas.microsoft.com/office/drawing/2014/main" xmlns="" id="{00000000-0008-0000-1300-000004000000}"/>
            </a:ext>
          </a:extLst>
        </xdr:cNvPr>
        <xdr:cNvCxnSpPr/>
      </xdr:nvCxnSpPr>
      <xdr:spPr>
        <a:xfrm>
          <a:off x="1981200" y="7886700"/>
          <a:ext cx="1008112" cy="900100"/>
        </a:xfrm>
        <a:prstGeom prst="straightConnector1">
          <a:avLst/>
        </a:prstGeom>
        <a:noFill/>
        <a:ln w="28575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0</xdr:colOff>
      <xdr:row>39</xdr:row>
      <xdr:rowOff>123825</xdr:rowOff>
    </xdr:from>
    <xdr:ext cx="1000125" cy="952500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1300-000005000000}"/>
            </a:ext>
          </a:extLst>
        </xdr:cNvPr>
        <xdr:cNvCxnSpPr/>
      </xdr:nvCxnSpPr>
      <xdr:spPr>
        <a:xfrm flipV="1">
          <a:off x="1981200" y="8786800"/>
          <a:ext cx="1008112" cy="900100"/>
        </a:xfrm>
        <a:prstGeom prst="straightConnector1">
          <a:avLst/>
        </a:prstGeom>
        <a:noFill/>
        <a:ln w="28575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37</xdr:row>
      <xdr:rowOff>0</xdr:rowOff>
    </xdr:from>
    <xdr:ext cx="3810000" cy="1866900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400-000002000000}"/>
            </a:ext>
          </a:extLst>
        </xdr:cNvPr>
        <xdr:cNvSpPr/>
      </xdr:nvSpPr>
      <xdr:spPr>
        <a:xfrm>
          <a:off x="1933575" y="7820025"/>
          <a:ext cx="3816424" cy="1800200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1000125</xdr:colOff>
      <xdr:row>37</xdr:row>
      <xdr:rowOff>0</xdr:rowOff>
    </xdr:from>
    <xdr:ext cx="0" cy="1866900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1400-000003000000}"/>
            </a:ext>
          </a:extLst>
        </xdr:cNvPr>
        <xdr:cNvSpPr/>
      </xdr:nvSpPr>
      <xdr:spPr>
        <a:xfrm>
          <a:off x="2941687" y="7820025"/>
          <a:ext cx="0" cy="180020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4</xdr:col>
      <xdr:colOff>9525</xdr:colOff>
      <xdr:row>37</xdr:row>
      <xdr:rowOff>0</xdr:rowOff>
    </xdr:from>
    <xdr:ext cx="0" cy="186690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1400-000004000000}"/>
            </a:ext>
          </a:extLst>
        </xdr:cNvPr>
        <xdr:cNvSpPr/>
      </xdr:nvSpPr>
      <xdr:spPr>
        <a:xfrm>
          <a:off x="4741887" y="7820025"/>
          <a:ext cx="0" cy="180020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4</xdr:col>
      <xdr:colOff>9525</xdr:colOff>
      <xdr:row>37</xdr:row>
      <xdr:rowOff>0</xdr:rowOff>
    </xdr:from>
    <xdr:ext cx="1000125" cy="923925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1400-000005000000}"/>
            </a:ext>
          </a:extLst>
        </xdr:cNvPr>
        <xdr:cNvCxnSpPr/>
      </xdr:nvCxnSpPr>
      <xdr:spPr>
        <a:xfrm flipH="1">
          <a:off x="4741887" y="7820025"/>
          <a:ext cx="1008112" cy="900100"/>
        </a:xfrm>
        <a:prstGeom prst="straightConnector1">
          <a:avLst/>
        </a:prstGeom>
        <a:noFill/>
        <a:ln w="28575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4</xdr:col>
      <xdr:colOff>9525</xdr:colOff>
      <xdr:row>41</xdr:row>
      <xdr:rowOff>123825</xdr:rowOff>
    </xdr:from>
    <xdr:ext cx="1000125" cy="952500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1400-000006000000}"/>
            </a:ext>
          </a:extLst>
        </xdr:cNvPr>
        <xdr:cNvCxnSpPr/>
      </xdr:nvCxnSpPr>
      <xdr:spPr>
        <a:xfrm flipH="1" flipV="1">
          <a:off x="4741887" y="8720125"/>
          <a:ext cx="1008112" cy="900100"/>
        </a:xfrm>
        <a:prstGeom prst="straightConnector1">
          <a:avLst/>
        </a:prstGeom>
        <a:noFill/>
        <a:ln w="28575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0</xdr:colOff>
      <xdr:row>37</xdr:row>
      <xdr:rowOff>0</xdr:rowOff>
    </xdr:from>
    <xdr:ext cx="1000125" cy="923925"/>
    <xdr:cxnSp macro="">
      <xdr:nvCxnSpPr>
        <xdr:cNvPr id="7" name="straightConnector1">
          <a:extLst>
            <a:ext uri="{FF2B5EF4-FFF2-40B4-BE49-F238E27FC236}">
              <a16:creationId xmlns:a16="http://schemas.microsoft.com/office/drawing/2014/main" xmlns="" id="{00000000-0008-0000-1400-000007000000}"/>
            </a:ext>
          </a:extLst>
        </xdr:cNvPr>
        <xdr:cNvCxnSpPr/>
      </xdr:nvCxnSpPr>
      <xdr:spPr>
        <a:xfrm>
          <a:off x="1933575" y="7820025"/>
          <a:ext cx="1008112" cy="900100"/>
        </a:xfrm>
        <a:prstGeom prst="straightConnector1">
          <a:avLst/>
        </a:prstGeom>
        <a:noFill/>
        <a:ln w="28575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0</xdr:colOff>
      <xdr:row>41</xdr:row>
      <xdr:rowOff>123825</xdr:rowOff>
    </xdr:from>
    <xdr:ext cx="1000125" cy="952500"/>
    <xdr:cxnSp macro="">
      <xdr:nvCxnSpPr>
        <xdr:cNvPr id="8" name="straightConnector1">
          <a:extLst>
            <a:ext uri="{FF2B5EF4-FFF2-40B4-BE49-F238E27FC236}">
              <a16:creationId xmlns:a16="http://schemas.microsoft.com/office/drawing/2014/main" xmlns="" id="{00000000-0008-0000-1400-000008000000}"/>
            </a:ext>
          </a:extLst>
        </xdr:cNvPr>
        <xdr:cNvCxnSpPr/>
      </xdr:nvCxnSpPr>
      <xdr:spPr>
        <a:xfrm flipV="1">
          <a:off x="1933575" y="8720125"/>
          <a:ext cx="1008112" cy="900100"/>
        </a:xfrm>
        <a:prstGeom prst="straightConnector1">
          <a:avLst/>
        </a:prstGeom>
        <a:noFill/>
        <a:ln w="28575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32</xdr:row>
      <xdr:rowOff>0</xdr:rowOff>
    </xdr:from>
    <xdr:ext cx="2038350" cy="14573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500-000002000000}"/>
            </a:ext>
          </a:extLst>
        </xdr:cNvPr>
        <xdr:cNvSpPr/>
      </xdr:nvSpPr>
      <xdr:spPr>
        <a:xfrm>
          <a:off x="2162175" y="6867525"/>
          <a:ext cx="2232248" cy="1872208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352425</xdr:colOff>
      <xdr:row>32</xdr:row>
      <xdr:rowOff>0</xdr:rowOff>
    </xdr:from>
    <xdr:ext cx="0" cy="14573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1500-000003000000}"/>
            </a:ext>
          </a:extLst>
        </xdr:cNvPr>
        <xdr:cNvSpPr/>
      </xdr:nvSpPr>
      <xdr:spPr>
        <a:xfrm>
          <a:off x="3278299" y="6867525"/>
          <a:ext cx="0" cy="1872208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533400</xdr:colOff>
      <xdr:row>35</xdr:row>
      <xdr:rowOff>142875</xdr:rowOff>
    </xdr:from>
    <xdr:ext cx="800100" cy="0"/>
    <xdr:cxnSp macro="">
      <xdr:nvCxnSpPr>
        <xdr:cNvPr id="4" name="straightConnector1">
          <a:extLst>
            <a:ext uri="{FF2B5EF4-FFF2-40B4-BE49-F238E27FC236}">
              <a16:creationId xmlns:a16="http://schemas.microsoft.com/office/drawing/2014/main" xmlns="" id="{00000000-0008-0000-1500-000004000000}"/>
            </a:ext>
          </a:extLst>
        </xdr:cNvPr>
        <xdr:cNvCxnSpPr/>
      </xdr:nvCxnSpPr>
      <xdr:spPr>
        <a:xfrm>
          <a:off x="3458319" y="7803629"/>
          <a:ext cx="792088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39</xdr:row>
      <xdr:rowOff>0</xdr:rowOff>
    </xdr:from>
    <xdr:ext cx="3171825" cy="17621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600-000002000000}"/>
            </a:ext>
          </a:extLst>
        </xdr:cNvPr>
        <xdr:cNvSpPr/>
      </xdr:nvSpPr>
      <xdr:spPr>
        <a:xfrm>
          <a:off x="2286000" y="8220075"/>
          <a:ext cx="3744416" cy="2160240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457200</xdr:colOff>
      <xdr:row>39</xdr:row>
      <xdr:rowOff>0</xdr:rowOff>
    </xdr:from>
    <xdr:ext cx="0" cy="17621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1600-000003000000}"/>
            </a:ext>
          </a:extLst>
        </xdr:cNvPr>
        <xdr:cNvSpPr/>
      </xdr:nvSpPr>
      <xdr:spPr>
        <a:xfrm>
          <a:off x="3510136" y="8220075"/>
          <a:ext cx="0" cy="216024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4</xdr:col>
      <xdr:colOff>600075</xdr:colOff>
      <xdr:row>38</xdr:row>
      <xdr:rowOff>219075</xdr:rowOff>
    </xdr:from>
    <xdr:ext cx="0" cy="171450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1600-000004000000}"/>
            </a:ext>
          </a:extLst>
        </xdr:cNvPr>
        <xdr:cNvSpPr/>
      </xdr:nvSpPr>
      <xdr:spPr>
        <a:xfrm>
          <a:off x="4806280" y="8196681"/>
          <a:ext cx="0" cy="216024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676275</xdr:colOff>
      <xdr:row>43</xdr:row>
      <xdr:rowOff>19050</xdr:rowOff>
    </xdr:from>
    <xdr:ext cx="942975" cy="0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1600-000005000000}"/>
            </a:ext>
          </a:extLst>
        </xdr:cNvPr>
        <xdr:cNvCxnSpPr/>
      </xdr:nvCxnSpPr>
      <xdr:spPr>
        <a:xfrm flipH="1">
          <a:off x="3726160" y="9276801"/>
          <a:ext cx="93610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2</xdr:col>
      <xdr:colOff>142875</xdr:colOff>
      <xdr:row>43</xdr:row>
      <xdr:rowOff>19050</xdr:rowOff>
    </xdr:from>
    <xdr:ext cx="742950" cy="0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1600-000006000000}"/>
            </a:ext>
          </a:extLst>
        </xdr:cNvPr>
        <xdr:cNvCxnSpPr/>
      </xdr:nvCxnSpPr>
      <xdr:spPr>
        <a:xfrm flipH="1">
          <a:off x="2430016" y="9276801"/>
          <a:ext cx="936104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33</xdr:row>
      <xdr:rowOff>247650</xdr:rowOff>
    </xdr:from>
    <xdr:ext cx="3971925" cy="1695450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700-000002000000}"/>
            </a:ext>
          </a:extLst>
        </xdr:cNvPr>
        <xdr:cNvSpPr/>
      </xdr:nvSpPr>
      <xdr:spPr>
        <a:xfrm>
          <a:off x="1133475" y="7419974"/>
          <a:ext cx="3981450" cy="2066925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942975</xdr:colOff>
      <xdr:row>33</xdr:row>
      <xdr:rowOff>238125</xdr:rowOff>
    </xdr:from>
    <xdr:ext cx="0" cy="170497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1700-000003000000}"/>
            </a:ext>
          </a:extLst>
        </xdr:cNvPr>
        <xdr:cNvSpPr/>
      </xdr:nvSpPr>
      <xdr:spPr>
        <a:xfrm flipH="1">
          <a:off x="2085975" y="7410450"/>
          <a:ext cx="6846" cy="207645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76200</xdr:colOff>
      <xdr:row>33</xdr:row>
      <xdr:rowOff>247650</xdr:rowOff>
    </xdr:from>
    <xdr:ext cx="0" cy="169545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1700-000004000000}"/>
            </a:ext>
          </a:extLst>
        </xdr:cNvPr>
        <xdr:cNvSpPr/>
      </xdr:nvSpPr>
      <xdr:spPr>
        <a:xfrm>
          <a:off x="3124200" y="7419974"/>
          <a:ext cx="0" cy="2066925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4</xdr:col>
      <xdr:colOff>276225</xdr:colOff>
      <xdr:row>34</xdr:row>
      <xdr:rowOff>9525</xdr:rowOff>
    </xdr:from>
    <xdr:ext cx="0" cy="1676400"/>
    <xdr:sp macro="" textlink="">
      <xdr:nvSpPr>
        <xdr:cNvPr id="5" name="line">
          <a:extLst>
            <a:ext uri="{FF2B5EF4-FFF2-40B4-BE49-F238E27FC236}">
              <a16:creationId xmlns:a16="http://schemas.microsoft.com/office/drawing/2014/main" xmlns="" id="{00000000-0008-0000-1700-000005000000}"/>
            </a:ext>
          </a:extLst>
        </xdr:cNvPr>
        <xdr:cNvSpPr/>
      </xdr:nvSpPr>
      <xdr:spPr>
        <a:xfrm flipH="1">
          <a:off x="4143375" y="7439025"/>
          <a:ext cx="6822" cy="2000250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1057275</xdr:colOff>
      <xdr:row>38</xdr:row>
      <xdr:rowOff>47625</xdr:rowOff>
    </xdr:from>
    <xdr:ext cx="781050" cy="0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1700-000006000000}"/>
            </a:ext>
          </a:extLst>
        </xdr:cNvPr>
        <xdr:cNvCxnSpPr/>
      </xdr:nvCxnSpPr>
      <xdr:spPr>
        <a:xfrm flipV="1">
          <a:off x="2200275" y="8505242"/>
          <a:ext cx="779884" cy="583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3</xdr:col>
      <xdr:colOff>228600</xdr:colOff>
      <xdr:row>38</xdr:row>
      <xdr:rowOff>28575</xdr:rowOff>
    </xdr:from>
    <xdr:ext cx="733425" cy="0"/>
    <xdr:cxnSp macro="">
      <xdr:nvCxnSpPr>
        <xdr:cNvPr id="7" name="straightConnector1">
          <a:extLst>
            <a:ext uri="{FF2B5EF4-FFF2-40B4-BE49-F238E27FC236}">
              <a16:creationId xmlns:a16="http://schemas.microsoft.com/office/drawing/2014/main" xmlns="" id="{00000000-0008-0000-1700-000007000000}"/>
            </a:ext>
          </a:extLst>
        </xdr:cNvPr>
        <xdr:cNvCxnSpPr/>
      </xdr:nvCxnSpPr>
      <xdr:spPr>
        <a:xfrm flipH="1">
          <a:off x="3276863" y="8486775"/>
          <a:ext cx="723637" cy="8942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33</xdr:row>
      <xdr:rowOff>0</xdr:rowOff>
    </xdr:from>
    <xdr:ext cx="2228850" cy="14573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B00-000002000000}"/>
            </a:ext>
          </a:extLst>
        </xdr:cNvPr>
        <xdr:cNvSpPr/>
      </xdr:nvSpPr>
      <xdr:spPr>
        <a:xfrm>
          <a:off x="1409700" y="7191375"/>
          <a:ext cx="2232248" cy="1872208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1114425</xdr:colOff>
      <xdr:row>33</xdr:row>
      <xdr:rowOff>0</xdr:rowOff>
    </xdr:from>
    <xdr:ext cx="0" cy="14573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1B00-000003000000}"/>
            </a:ext>
          </a:extLst>
        </xdr:cNvPr>
        <xdr:cNvSpPr/>
      </xdr:nvSpPr>
      <xdr:spPr>
        <a:xfrm>
          <a:off x="2525824" y="7191375"/>
          <a:ext cx="0" cy="1872208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57150</xdr:colOff>
      <xdr:row>36</xdr:row>
      <xdr:rowOff>142875</xdr:rowOff>
    </xdr:from>
    <xdr:ext cx="790575" cy="0"/>
    <xdr:cxnSp macro="">
      <xdr:nvCxnSpPr>
        <xdr:cNvPr id="4" name="straightConnector1">
          <a:extLst>
            <a:ext uri="{FF2B5EF4-FFF2-40B4-BE49-F238E27FC236}">
              <a16:creationId xmlns:a16="http://schemas.microsoft.com/office/drawing/2014/main" xmlns="" id="{00000000-0008-0000-1B00-000004000000}"/>
            </a:ext>
          </a:extLst>
        </xdr:cNvPr>
        <xdr:cNvCxnSpPr/>
      </xdr:nvCxnSpPr>
      <xdr:spPr>
        <a:xfrm>
          <a:off x="2705844" y="8127479"/>
          <a:ext cx="792088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27</xdr:row>
      <xdr:rowOff>0</xdr:rowOff>
    </xdr:from>
    <xdr:ext cx="1257300" cy="254317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C00-000002000000}"/>
            </a:ext>
          </a:extLst>
        </xdr:cNvPr>
        <xdr:cNvSpPr/>
      </xdr:nvSpPr>
      <xdr:spPr>
        <a:xfrm>
          <a:off x="3629025" y="6210300"/>
          <a:ext cx="1260140" cy="2448272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3</xdr:col>
      <xdr:colOff>390525</xdr:colOff>
      <xdr:row>33</xdr:row>
      <xdr:rowOff>9525</xdr:rowOff>
    </xdr:from>
    <xdr:ext cx="152400" cy="600075"/>
    <xdr:sp macro="" textlink="">
      <xdr:nvSpPr>
        <xdr:cNvPr id="3" name="round2SameRect">
          <a:extLst>
            <a:ext uri="{FF2B5EF4-FFF2-40B4-BE49-F238E27FC236}">
              <a16:creationId xmlns:a16="http://schemas.microsoft.com/office/drawing/2014/main" xmlns="" id="{00000000-0008-0000-1C00-000003000000}"/>
            </a:ext>
          </a:extLst>
        </xdr:cNvPr>
        <xdr:cNvSpPr/>
      </xdr:nvSpPr>
      <xdr:spPr>
        <a:xfrm>
          <a:off x="4733925" y="7369088"/>
          <a:ext cx="150980" cy="576064"/>
        </a:xfrm>
        <a:prstGeom prst="round2SameRect">
          <a:avLst/>
        </a:prstGeom>
        <a:solidFill>
          <a:srgbClr val="000000"/>
        </a:solidFill>
        <a:ln w="127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9525</xdr:colOff>
      <xdr:row>35</xdr:row>
      <xdr:rowOff>0</xdr:rowOff>
    </xdr:from>
    <xdr:ext cx="1247775" cy="0"/>
    <xdr:sp macro="" textlink="">
      <xdr:nvSpPr>
        <xdr:cNvPr id="4" name="line">
          <a:extLst>
            <a:ext uri="{FF2B5EF4-FFF2-40B4-BE49-F238E27FC236}">
              <a16:creationId xmlns:a16="http://schemas.microsoft.com/office/drawing/2014/main" xmlns="" id="{00000000-0008-0000-1C00-000004000000}"/>
            </a:ext>
          </a:extLst>
        </xdr:cNvPr>
        <xdr:cNvSpPr/>
      </xdr:nvSpPr>
      <xdr:spPr>
        <a:xfrm>
          <a:off x="3647027" y="7737546"/>
          <a:ext cx="1242138" cy="0"/>
        </a:xfrm>
        <a:prstGeom prst="line">
          <a:avLst/>
        </a:prstGeom>
        <a:noFill/>
        <a:ln w="7620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2</xdr:col>
      <xdr:colOff>47625</xdr:colOff>
      <xdr:row>27</xdr:row>
      <xdr:rowOff>9525</xdr:rowOff>
    </xdr:from>
    <xdr:ext cx="1209675" cy="1590675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1C00-000005000000}"/>
            </a:ext>
          </a:extLst>
        </xdr:cNvPr>
        <xdr:cNvCxnSpPr/>
      </xdr:nvCxnSpPr>
      <xdr:spPr>
        <a:xfrm>
          <a:off x="3685989" y="6225378"/>
          <a:ext cx="1203176" cy="1512168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2</xdr:col>
      <xdr:colOff>9525</xdr:colOff>
      <xdr:row>34</xdr:row>
      <xdr:rowOff>171450</xdr:rowOff>
    </xdr:from>
    <xdr:ext cx="1247775" cy="981075"/>
    <xdr:cxnSp macro="">
      <xdr:nvCxnSpPr>
        <xdr:cNvPr id="6" name="straightConnector1">
          <a:extLst>
            <a:ext uri="{FF2B5EF4-FFF2-40B4-BE49-F238E27FC236}">
              <a16:creationId xmlns:a16="http://schemas.microsoft.com/office/drawing/2014/main" xmlns="" id="{00000000-0008-0000-1C00-000006000000}"/>
            </a:ext>
          </a:extLst>
        </xdr:cNvPr>
        <xdr:cNvCxnSpPr/>
      </xdr:nvCxnSpPr>
      <xdr:spPr>
        <a:xfrm flipV="1">
          <a:off x="3647027" y="7722468"/>
          <a:ext cx="1242138" cy="936104"/>
        </a:xfrm>
        <a:prstGeom prst="straightConnector1">
          <a:avLst/>
        </a:prstGeom>
        <a:noFill/>
        <a:ln w="38100" cap="flat" cmpd="sng">
          <a:solidFill>
            <a:srgbClr val="000000"/>
          </a:solidFill>
          <a:prstDash val="sysDash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29</xdr:row>
      <xdr:rowOff>0</xdr:rowOff>
    </xdr:from>
    <xdr:ext cx="2228850" cy="1457325"/>
    <xdr:sp macro="" textlink="">
      <xdr:nvSpPr>
        <xdr:cNvPr id="2" name="rect">
          <a:extLst>
            <a:ext uri="{FF2B5EF4-FFF2-40B4-BE49-F238E27FC236}">
              <a16:creationId xmlns:a16="http://schemas.microsoft.com/office/drawing/2014/main" xmlns="" id="{00000000-0008-0000-1D00-000002000000}"/>
            </a:ext>
          </a:extLst>
        </xdr:cNvPr>
        <xdr:cNvSpPr/>
      </xdr:nvSpPr>
      <xdr:spPr>
        <a:xfrm>
          <a:off x="1133475" y="6657975"/>
          <a:ext cx="2232248" cy="1872208"/>
        </a:xfrm>
        <a:prstGeom prst="rect">
          <a:avLst/>
        </a:prstGeom>
        <a:solidFill>
          <a:srgbClr val="D6DCE5"/>
        </a:solidFill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1114425</xdr:colOff>
      <xdr:row>29</xdr:row>
      <xdr:rowOff>0</xdr:rowOff>
    </xdr:from>
    <xdr:ext cx="0" cy="1457325"/>
    <xdr:sp macro="" textlink="">
      <xdr:nvSpPr>
        <xdr:cNvPr id="3" name="line">
          <a:extLst>
            <a:ext uri="{FF2B5EF4-FFF2-40B4-BE49-F238E27FC236}">
              <a16:creationId xmlns:a16="http://schemas.microsoft.com/office/drawing/2014/main" xmlns="" id="{00000000-0008-0000-1D00-000003000000}"/>
            </a:ext>
          </a:extLst>
        </xdr:cNvPr>
        <xdr:cNvSpPr/>
      </xdr:nvSpPr>
      <xdr:spPr>
        <a:xfrm>
          <a:off x="2249599" y="6657975"/>
          <a:ext cx="0" cy="1872208"/>
        </a:xfrm>
        <a:prstGeom prst="line">
          <a:avLst/>
        </a:prstGeom>
        <a:noFill/>
        <a:ln w="57150" cap="flat" cmpd="sng">
          <a:solidFill>
            <a:srgbClr val="000000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anchor="t"/>
        <a:lstStyle/>
        <a:p>
          <a:pPr lvl="0" algn="l"/>
          <a:endParaRPr/>
        </a:p>
      </xdr:txBody>
    </xdr:sp>
    <xdr:clientData fLocksWithSheet="0"/>
  </xdr:oneCellAnchor>
  <xdr:oneCellAnchor>
    <xdr:from>
      <xdr:col>1</xdr:col>
      <xdr:colOff>1295400</xdr:colOff>
      <xdr:row>32</xdr:row>
      <xdr:rowOff>142875</xdr:rowOff>
    </xdr:from>
    <xdr:ext cx="800100" cy="0"/>
    <xdr:cxnSp macro="">
      <xdr:nvCxnSpPr>
        <xdr:cNvPr id="4" name="straightConnector1">
          <a:extLst>
            <a:ext uri="{FF2B5EF4-FFF2-40B4-BE49-F238E27FC236}">
              <a16:creationId xmlns:a16="http://schemas.microsoft.com/office/drawing/2014/main" xmlns="" id="{00000000-0008-0000-1D00-000004000000}"/>
            </a:ext>
          </a:extLst>
        </xdr:cNvPr>
        <xdr:cNvCxnSpPr/>
      </xdr:nvCxnSpPr>
      <xdr:spPr>
        <a:xfrm>
          <a:off x="2429619" y="7594079"/>
          <a:ext cx="792088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  <xdr:oneCellAnchor>
    <xdr:from>
      <xdr:col>1</xdr:col>
      <xdr:colOff>180975</xdr:colOff>
      <xdr:row>32</xdr:row>
      <xdr:rowOff>142875</xdr:rowOff>
    </xdr:from>
    <xdr:ext cx="762000" cy="0"/>
    <xdr:cxnSp macro="">
      <xdr:nvCxnSpPr>
        <xdr:cNvPr id="5" name="straightConnector1">
          <a:extLst>
            <a:ext uri="{FF2B5EF4-FFF2-40B4-BE49-F238E27FC236}">
              <a16:creationId xmlns:a16="http://schemas.microsoft.com/office/drawing/2014/main" xmlns="" id="{00000000-0008-0000-1D00-000005000000}"/>
            </a:ext>
          </a:extLst>
        </xdr:cNvPr>
        <xdr:cNvCxnSpPr/>
      </xdr:nvCxnSpPr>
      <xdr:spPr>
        <a:xfrm flipH="1">
          <a:off x="1320189" y="7594079"/>
          <a:ext cx="764468" cy="0"/>
        </a:xfrm>
        <a:prstGeom prst="straightConnector1">
          <a:avLst/>
        </a:prstGeom>
        <a:noFill/>
        <a:ln w="57150" cap="flat" cmpd="sng">
          <a:solidFill>
            <a:srgbClr val="000000"/>
          </a:solidFill>
          <a:prstDash val="solid"/>
          <a:miter/>
          <a:tailEnd type="arrow" w="med" len="med"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</xdr:cxnSp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"/>
  <sheetViews>
    <sheetView topLeftCell="A10" workbookViewId="0">
      <selection sqref="A1:H1"/>
    </sheetView>
  </sheetViews>
  <sheetFormatPr baseColWidth="10" defaultColWidth="14.44140625" defaultRowHeight="15" customHeight="1" x14ac:dyDescent="0.3"/>
  <cols>
    <col min="1" max="1" width="15.109375" customWidth="1"/>
    <col min="2" max="2" width="18" customWidth="1"/>
    <col min="3" max="3" width="9.5546875" customWidth="1"/>
    <col min="4" max="4" width="11.6640625" customWidth="1"/>
    <col min="5" max="5" width="8.33203125" customWidth="1"/>
    <col min="6" max="6" width="3.109375" customWidth="1"/>
    <col min="7" max="7" width="7" customWidth="1"/>
    <col min="8" max="8" width="8.109375" customWidth="1"/>
    <col min="9" max="9" width="15.88671875" customWidth="1"/>
    <col min="10" max="10" width="18.33203125" customWidth="1"/>
    <col min="11" max="11" width="17.44140625" customWidth="1"/>
    <col min="12" max="12" width="13.88671875" customWidth="1"/>
    <col min="13" max="17" width="8.5546875" customWidth="1"/>
  </cols>
  <sheetData>
    <row r="1" spans="1:12" ht="22.8" x14ac:dyDescent="0.4">
      <c r="A1" s="344"/>
      <c r="B1" s="332"/>
      <c r="C1" s="332"/>
      <c r="D1" s="332"/>
      <c r="E1" s="332"/>
      <c r="F1" s="332"/>
      <c r="G1" s="332"/>
      <c r="H1" s="330"/>
      <c r="I1" s="1" t="s">
        <v>0</v>
      </c>
      <c r="J1" s="2"/>
      <c r="K1" s="2"/>
      <c r="L1" s="3" t="s">
        <v>1</v>
      </c>
    </row>
    <row r="2" spans="1:12" ht="21" x14ac:dyDescent="0.4">
      <c r="A2" s="343" t="s">
        <v>2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2" ht="21" x14ac:dyDescent="0.4">
      <c r="A3" s="345" t="s">
        <v>3</v>
      </c>
      <c r="B3" s="332"/>
      <c r="C3" s="330"/>
      <c r="D3" s="6">
        <v>100</v>
      </c>
      <c r="E3" s="345" t="s">
        <v>4</v>
      </c>
      <c r="F3" s="332"/>
      <c r="G3" s="332"/>
      <c r="H3" s="330"/>
      <c r="I3" s="1" t="s">
        <v>5</v>
      </c>
      <c r="J3" s="2"/>
      <c r="K3" s="2"/>
    </row>
    <row r="4" spans="1:12" ht="21" x14ac:dyDescent="0.4">
      <c r="A4" s="347" t="s">
        <v>6</v>
      </c>
      <c r="B4" s="332"/>
      <c r="C4" s="330"/>
      <c r="D4" s="6">
        <v>150</v>
      </c>
      <c r="E4" s="345" t="s">
        <v>4</v>
      </c>
      <c r="F4" s="332"/>
      <c r="G4" s="332"/>
      <c r="H4" s="330"/>
      <c r="I4" s="7"/>
      <c r="J4" s="2"/>
      <c r="K4" s="2"/>
    </row>
    <row r="5" spans="1:12" ht="21" x14ac:dyDescent="0.4">
      <c r="A5" s="347" t="s">
        <v>7</v>
      </c>
      <c r="B5" s="332"/>
      <c r="C5" s="330"/>
      <c r="D5" s="8">
        <v>1</v>
      </c>
      <c r="E5" s="345"/>
      <c r="F5" s="332"/>
      <c r="G5" s="332"/>
      <c r="H5" s="330"/>
      <c r="I5" s="9"/>
      <c r="J5" s="2"/>
      <c r="K5" s="2"/>
    </row>
    <row r="6" spans="1:12" ht="17.399999999999999" x14ac:dyDescent="0.3">
      <c r="A6" s="347" t="s">
        <v>8</v>
      </c>
      <c r="B6" s="330"/>
      <c r="C6" s="331"/>
      <c r="D6" s="332"/>
      <c r="E6" s="332"/>
      <c r="F6" s="332"/>
      <c r="G6" s="332"/>
      <c r="H6" s="330"/>
      <c r="I6" s="10"/>
      <c r="J6" s="2"/>
      <c r="K6" s="2"/>
    </row>
    <row r="7" spans="1:12" ht="17.25" customHeight="1" x14ac:dyDescent="0.3">
      <c r="A7" s="347" t="s">
        <v>9</v>
      </c>
      <c r="B7" s="330"/>
      <c r="C7" s="331"/>
      <c r="D7" s="332"/>
      <c r="E7" s="332"/>
      <c r="F7" s="332"/>
      <c r="G7" s="332"/>
      <c r="H7" s="330"/>
      <c r="I7" s="10"/>
      <c r="J7" s="2"/>
      <c r="K7" s="2"/>
    </row>
    <row r="8" spans="1:12" ht="18.75" customHeight="1" x14ac:dyDescent="0.4">
      <c r="A8" s="350" t="s">
        <v>10</v>
      </c>
      <c r="B8" s="336"/>
      <c r="C8" s="349" t="s">
        <v>11</v>
      </c>
      <c r="D8" s="348" t="s">
        <v>12</v>
      </c>
      <c r="E8" s="335"/>
      <c r="F8" s="336"/>
      <c r="G8" s="351" t="s">
        <v>13</v>
      </c>
      <c r="H8" s="351" t="s">
        <v>14</v>
      </c>
      <c r="I8" s="358" t="s">
        <v>15</v>
      </c>
      <c r="J8" s="332"/>
      <c r="K8" s="330"/>
    </row>
    <row r="9" spans="1:12" ht="19.5" customHeight="1" x14ac:dyDescent="0.4">
      <c r="A9" s="337"/>
      <c r="B9" s="339"/>
      <c r="C9" s="342"/>
      <c r="D9" s="337"/>
      <c r="E9" s="338"/>
      <c r="F9" s="339"/>
      <c r="G9" s="342"/>
      <c r="H9" s="342"/>
      <c r="I9" s="12" t="s">
        <v>16</v>
      </c>
      <c r="J9" s="12" t="s">
        <v>17</v>
      </c>
      <c r="K9" s="12" t="s">
        <v>18</v>
      </c>
    </row>
    <row r="10" spans="1:12" ht="14.4" x14ac:dyDescent="0.3">
      <c r="A10" s="353" t="s">
        <v>19</v>
      </c>
      <c r="B10" s="13" t="s">
        <v>20</v>
      </c>
      <c r="C10" s="13" t="s">
        <v>21</v>
      </c>
      <c r="D10" s="346">
        <f>D4</f>
        <v>150</v>
      </c>
      <c r="E10" s="332"/>
      <c r="F10" s="330"/>
      <c r="G10" s="13">
        <f>D5*1</f>
        <v>1</v>
      </c>
      <c r="H10" s="13">
        <v>90</v>
      </c>
      <c r="I10" s="13" t="s">
        <v>21</v>
      </c>
      <c r="J10" s="13" t="s">
        <v>22</v>
      </c>
      <c r="K10" s="14">
        <f>D10*D5</f>
        <v>150</v>
      </c>
      <c r="L10" s="2"/>
    </row>
    <row r="11" spans="1:12" ht="14.4" x14ac:dyDescent="0.3">
      <c r="A11" s="354"/>
      <c r="B11" s="13" t="s">
        <v>23</v>
      </c>
      <c r="C11" s="13" t="s">
        <v>24</v>
      </c>
      <c r="D11" s="346">
        <f>D4</f>
        <v>150</v>
      </c>
      <c r="E11" s="332"/>
      <c r="F11" s="330"/>
      <c r="G11" s="13">
        <f>D5*1</f>
        <v>1</v>
      </c>
      <c r="H11" s="13">
        <v>90</v>
      </c>
      <c r="I11" s="13" t="s">
        <v>24</v>
      </c>
      <c r="J11" s="13" t="s">
        <v>25</v>
      </c>
      <c r="K11" s="14">
        <f>D11*D5</f>
        <v>150</v>
      </c>
    </row>
    <row r="12" spans="1:12" ht="14.4" x14ac:dyDescent="0.3">
      <c r="A12" s="342"/>
      <c r="B12" s="13" t="s">
        <v>26</v>
      </c>
      <c r="C12" s="13" t="s">
        <v>27</v>
      </c>
      <c r="D12" s="346">
        <f>D3-1.5</f>
        <v>98.5</v>
      </c>
      <c r="E12" s="332"/>
      <c r="F12" s="330"/>
      <c r="G12" s="13">
        <f>D5*2</f>
        <v>2</v>
      </c>
      <c r="H12" s="13">
        <v>90</v>
      </c>
      <c r="I12" s="13" t="s">
        <v>27</v>
      </c>
      <c r="J12" s="13" t="s">
        <v>28</v>
      </c>
      <c r="K12" s="14">
        <f>(D12*2)*D5</f>
        <v>197</v>
      </c>
    </row>
    <row r="13" spans="1:12" ht="14.4" x14ac:dyDescent="0.3">
      <c r="A13" s="353" t="s">
        <v>29</v>
      </c>
      <c r="B13" s="13" t="s">
        <v>30</v>
      </c>
      <c r="C13" s="13" t="s">
        <v>31</v>
      </c>
      <c r="D13" s="346">
        <f>D3-3</f>
        <v>97</v>
      </c>
      <c r="E13" s="332"/>
      <c r="F13" s="330"/>
      <c r="G13" s="13">
        <f>D5*2</f>
        <v>2</v>
      </c>
      <c r="H13" s="13">
        <v>90</v>
      </c>
      <c r="I13" s="13" t="s">
        <v>31</v>
      </c>
      <c r="J13" s="13" t="s">
        <v>32</v>
      </c>
      <c r="K13" s="14">
        <f>(D13*2)*D5</f>
        <v>194</v>
      </c>
    </row>
    <row r="14" spans="1:12" ht="14.4" x14ac:dyDescent="0.3">
      <c r="A14" s="354"/>
      <c r="B14" s="13" t="s">
        <v>33</v>
      </c>
      <c r="C14" s="13" t="s">
        <v>34</v>
      </c>
      <c r="D14" s="346">
        <f>D3-3</f>
        <v>97</v>
      </c>
      <c r="E14" s="332"/>
      <c r="F14" s="330"/>
      <c r="G14" s="13">
        <f>D5*2</f>
        <v>2</v>
      </c>
      <c r="H14" s="13">
        <v>90</v>
      </c>
      <c r="I14" s="13" t="s">
        <v>34</v>
      </c>
      <c r="J14" s="13" t="s">
        <v>35</v>
      </c>
      <c r="K14" s="14">
        <f>(D14*2)*D5</f>
        <v>194</v>
      </c>
    </row>
    <row r="15" spans="1:12" ht="14.4" x14ac:dyDescent="0.3">
      <c r="A15" s="342"/>
      <c r="B15" s="13" t="s">
        <v>36</v>
      </c>
      <c r="C15" s="15" t="s">
        <v>37</v>
      </c>
      <c r="D15" s="346">
        <f>(D4-2.8)/2</f>
        <v>73.599999999999994</v>
      </c>
      <c r="E15" s="332"/>
      <c r="F15" s="330"/>
      <c r="G15" s="13">
        <f>D5*4</f>
        <v>4</v>
      </c>
      <c r="H15" s="13">
        <v>90</v>
      </c>
      <c r="I15" s="15" t="s">
        <v>37</v>
      </c>
      <c r="J15" s="13" t="s">
        <v>38</v>
      </c>
      <c r="K15" s="14">
        <f>(D10*2)*D5</f>
        <v>300</v>
      </c>
    </row>
    <row r="16" spans="1:12" ht="16.5" customHeight="1" x14ac:dyDescent="0.3">
      <c r="A16" s="355" t="s">
        <v>39</v>
      </c>
      <c r="B16" s="359" t="s">
        <v>40</v>
      </c>
      <c r="C16" s="341"/>
      <c r="D16" s="16" t="s">
        <v>3</v>
      </c>
      <c r="E16" s="329" t="s">
        <v>41</v>
      </c>
      <c r="F16" s="330"/>
      <c r="G16" s="17"/>
      <c r="H16" s="18"/>
      <c r="I16" s="2"/>
      <c r="J16" s="2"/>
      <c r="K16" s="2"/>
    </row>
    <row r="17" spans="1:17" ht="14.4" x14ac:dyDescent="0.3">
      <c r="A17" s="342"/>
      <c r="B17" s="342"/>
      <c r="C17" s="342"/>
      <c r="D17" s="19">
        <f>D13-6.5</f>
        <v>90.5</v>
      </c>
      <c r="E17" s="357">
        <f>D15-2</f>
        <v>71.599999999999994</v>
      </c>
      <c r="F17" s="330"/>
      <c r="G17" s="18">
        <f>D5*2</f>
        <v>2</v>
      </c>
      <c r="H17" s="18"/>
      <c r="I17" s="10"/>
      <c r="M17" s="2"/>
      <c r="N17" s="2"/>
    </row>
    <row r="18" spans="1:17" ht="15.6" x14ac:dyDescent="0.3">
      <c r="A18" s="20" t="s">
        <v>42</v>
      </c>
      <c r="B18" s="13">
        <v>5020</v>
      </c>
      <c r="C18" s="21"/>
      <c r="D18" s="356"/>
      <c r="E18" s="332"/>
      <c r="F18" s="330"/>
      <c r="G18" s="13">
        <f>(D17*4)+(E17*4)*D5</f>
        <v>648.4</v>
      </c>
      <c r="H18" s="13" t="s">
        <v>43</v>
      </c>
      <c r="I18" s="10"/>
      <c r="M18" s="2"/>
      <c r="N18" s="2"/>
    </row>
    <row r="19" spans="1:17" ht="15.6" x14ac:dyDescent="0.3">
      <c r="A19" s="20" t="s">
        <v>44</v>
      </c>
      <c r="B19" s="13" t="s">
        <v>45</v>
      </c>
      <c r="C19" s="13"/>
      <c r="D19" s="333"/>
      <c r="E19" s="332"/>
      <c r="F19" s="330"/>
      <c r="G19" s="13">
        <f>D5*8</f>
        <v>8</v>
      </c>
      <c r="H19" s="13"/>
      <c r="I19" s="352"/>
      <c r="J19" s="2"/>
      <c r="K19" s="2"/>
      <c r="L19" s="2"/>
      <c r="M19" s="2"/>
      <c r="N19" s="2"/>
    </row>
    <row r="20" spans="1:17" ht="15.6" x14ac:dyDescent="0.3">
      <c r="A20" s="20"/>
      <c r="B20" s="13" t="s">
        <v>46</v>
      </c>
      <c r="C20" s="13"/>
      <c r="D20" s="23"/>
      <c r="E20" s="23"/>
      <c r="F20" s="24"/>
      <c r="G20" s="24">
        <f>D5*8</f>
        <v>8</v>
      </c>
      <c r="H20" s="13"/>
      <c r="I20" s="327"/>
      <c r="J20" s="2"/>
      <c r="K20" s="2"/>
      <c r="L20" s="2"/>
      <c r="M20" s="2"/>
      <c r="N20" s="2"/>
    </row>
    <row r="21" spans="1:17" ht="15.75" customHeight="1" x14ac:dyDescent="0.3">
      <c r="A21" s="20"/>
      <c r="B21" s="13" t="s">
        <v>47</v>
      </c>
      <c r="C21" s="13"/>
      <c r="D21" s="22"/>
      <c r="E21" s="25"/>
      <c r="F21" s="24"/>
      <c r="G21" s="24">
        <f>D5*4</f>
        <v>4</v>
      </c>
      <c r="H21" s="13"/>
      <c r="I21" s="327"/>
      <c r="J21" s="2"/>
      <c r="K21" s="2"/>
      <c r="L21" s="2"/>
      <c r="M21" s="2"/>
      <c r="N21" s="2"/>
    </row>
    <row r="22" spans="1:17" ht="15.75" customHeight="1" x14ac:dyDescent="0.3">
      <c r="A22" s="20" t="s">
        <v>48</v>
      </c>
      <c r="B22" s="26" t="s">
        <v>49</v>
      </c>
      <c r="C22" s="13"/>
      <c r="D22" s="27"/>
      <c r="E22" s="23"/>
      <c r="F22" s="28"/>
      <c r="G22" s="24">
        <f>D5*2</f>
        <v>2</v>
      </c>
      <c r="H22" s="13"/>
      <c r="I22" s="10"/>
      <c r="J22" s="2"/>
      <c r="K22" s="29"/>
      <c r="L22" s="2"/>
      <c r="M22" s="2"/>
      <c r="N22" s="2"/>
    </row>
    <row r="23" spans="1:17" ht="15.75" customHeight="1" x14ac:dyDescent="0.3">
      <c r="A23" s="20" t="s">
        <v>50</v>
      </c>
      <c r="B23" s="13" t="s">
        <v>51</v>
      </c>
      <c r="C23" s="13">
        <v>5020</v>
      </c>
      <c r="D23" s="340"/>
      <c r="E23" s="332"/>
      <c r="F23" s="330"/>
      <c r="G23" s="24">
        <f>D5*2</f>
        <v>2</v>
      </c>
      <c r="H23" s="13"/>
      <c r="I23" s="10"/>
      <c r="J23" s="2"/>
      <c r="K23" s="2"/>
      <c r="L23" s="2"/>
      <c r="M23" s="2"/>
      <c r="N23" s="2"/>
    </row>
    <row r="24" spans="1:17" ht="15.75" customHeight="1" x14ac:dyDescent="0.3">
      <c r="A24" s="20" t="s">
        <v>52</v>
      </c>
      <c r="B24" s="30">
        <v>0.25</v>
      </c>
      <c r="C24" s="13"/>
      <c r="D24" s="22"/>
      <c r="E24" s="25"/>
      <c r="F24" s="24"/>
      <c r="G24" s="24">
        <f>D5*4</f>
        <v>4</v>
      </c>
      <c r="H24" s="13"/>
      <c r="I24" s="10"/>
      <c r="J24" s="2"/>
      <c r="K24" s="2"/>
      <c r="L24" s="2"/>
      <c r="M24" s="2"/>
      <c r="N24" s="2"/>
    </row>
    <row r="25" spans="1:17" ht="15.75" customHeight="1" x14ac:dyDescent="0.3">
      <c r="A25" s="20" t="s">
        <v>53</v>
      </c>
      <c r="B25" s="13">
        <v>5020</v>
      </c>
      <c r="C25" s="13"/>
      <c r="D25" s="333"/>
      <c r="E25" s="332"/>
      <c r="F25" s="330"/>
      <c r="G25" s="24">
        <f>D5*4</f>
        <v>4</v>
      </c>
      <c r="H25" s="13"/>
      <c r="I25" s="10"/>
      <c r="J25" s="2"/>
      <c r="K25" s="2"/>
      <c r="L25" s="2"/>
      <c r="M25" s="2"/>
      <c r="N25" s="2"/>
    </row>
    <row r="26" spans="1:17" ht="15.75" customHeight="1" x14ac:dyDescent="0.3">
      <c r="A26" s="20" t="s">
        <v>54</v>
      </c>
      <c r="B26" s="13" t="s">
        <v>55</v>
      </c>
      <c r="C26" s="13"/>
      <c r="D26" s="333"/>
      <c r="E26" s="332"/>
      <c r="F26" s="330"/>
      <c r="G26" s="24">
        <f>D5*1</f>
        <v>1</v>
      </c>
      <c r="H26" s="13"/>
      <c r="I26" s="10"/>
      <c r="J26" s="2"/>
      <c r="K26" s="2"/>
      <c r="O26" s="2"/>
      <c r="P26" s="2"/>
      <c r="Q26" s="2"/>
    </row>
    <row r="27" spans="1:17" ht="15.75" customHeight="1" x14ac:dyDescent="0.3">
      <c r="A27" s="331" t="s">
        <v>56</v>
      </c>
      <c r="B27" s="330"/>
      <c r="C27" s="331"/>
      <c r="D27" s="332"/>
      <c r="E27" s="332"/>
      <c r="F27" s="332"/>
      <c r="G27" s="332"/>
      <c r="H27" s="330"/>
      <c r="I27" s="10"/>
      <c r="J27" s="2"/>
      <c r="K27" s="2"/>
    </row>
    <row r="28" spans="1:17" ht="15.75" customHeight="1" x14ac:dyDescent="0.3">
      <c r="A28" s="331" t="s">
        <v>57</v>
      </c>
      <c r="B28" s="330"/>
      <c r="C28" s="331"/>
      <c r="D28" s="332"/>
      <c r="E28" s="332"/>
      <c r="F28" s="332"/>
      <c r="G28" s="332"/>
      <c r="H28" s="330"/>
      <c r="I28" s="10"/>
      <c r="J28" s="2"/>
      <c r="K28" s="2"/>
    </row>
    <row r="29" spans="1:17" ht="15.75" customHeight="1" x14ac:dyDescent="0.3">
      <c r="A29" s="334" t="s">
        <v>58</v>
      </c>
      <c r="B29" s="335"/>
      <c r="C29" s="335"/>
      <c r="D29" s="335"/>
      <c r="E29" s="336"/>
      <c r="F29" s="331"/>
      <c r="G29" s="332"/>
      <c r="H29" s="330"/>
      <c r="I29" s="10"/>
      <c r="J29" s="2"/>
      <c r="K29" s="2"/>
    </row>
    <row r="30" spans="1:17" ht="15.75" customHeight="1" x14ac:dyDescent="0.3">
      <c r="A30" s="337"/>
      <c r="B30" s="338"/>
      <c r="C30" s="338"/>
      <c r="D30" s="338"/>
      <c r="E30" s="339"/>
      <c r="F30" s="331" t="s">
        <v>59</v>
      </c>
      <c r="G30" s="332"/>
      <c r="H30" s="330"/>
      <c r="I30" s="10"/>
      <c r="J30" s="2"/>
      <c r="K30" s="2"/>
    </row>
    <row r="31" spans="1:17" ht="15.75" customHeight="1" x14ac:dyDescent="0.3">
      <c r="A31" s="31"/>
      <c r="B31" s="32"/>
      <c r="C31" s="33"/>
      <c r="D31" s="32"/>
      <c r="E31" s="32"/>
      <c r="F31" s="32"/>
      <c r="G31" s="32"/>
      <c r="H31" s="32"/>
      <c r="I31" s="34"/>
      <c r="J31" s="2"/>
      <c r="K31" s="2"/>
    </row>
    <row r="32" spans="1:17" ht="15.75" customHeight="1" x14ac:dyDescent="0.3">
      <c r="A32" s="31"/>
      <c r="B32" s="32"/>
      <c r="C32" s="32"/>
      <c r="D32" s="32"/>
      <c r="E32" s="32"/>
      <c r="F32" s="326"/>
      <c r="G32" s="32"/>
      <c r="H32" s="32"/>
      <c r="I32" s="34"/>
      <c r="J32" s="2"/>
      <c r="K32" s="2"/>
    </row>
    <row r="33" spans="1:11" ht="15.75" customHeight="1" x14ac:dyDescent="0.3">
      <c r="A33" s="31"/>
      <c r="B33" s="32"/>
      <c r="C33" s="32"/>
      <c r="D33" s="32"/>
      <c r="E33" s="32"/>
      <c r="F33" s="327"/>
      <c r="G33" s="32"/>
      <c r="H33" s="32"/>
      <c r="I33" s="34"/>
      <c r="J33" s="2"/>
      <c r="K33" s="2"/>
    </row>
    <row r="34" spans="1:11" ht="15.75" customHeight="1" x14ac:dyDescent="0.3">
      <c r="A34" s="31"/>
      <c r="B34" s="32"/>
      <c r="C34" s="32"/>
      <c r="D34" s="32"/>
      <c r="E34" s="32"/>
      <c r="F34" s="327"/>
      <c r="G34" s="32"/>
      <c r="H34" s="32"/>
      <c r="I34" s="34"/>
      <c r="J34" s="2"/>
      <c r="K34" s="2"/>
    </row>
    <row r="35" spans="1:11" ht="15.75" customHeight="1" x14ac:dyDescent="0.4">
      <c r="A35" s="31"/>
      <c r="B35" s="32"/>
      <c r="C35" s="32"/>
      <c r="D35" s="32"/>
      <c r="E35" s="35">
        <f>D3</f>
        <v>100</v>
      </c>
      <c r="F35" s="327"/>
      <c r="G35" s="32"/>
      <c r="H35" s="32"/>
      <c r="I35" s="34"/>
      <c r="J35" s="2"/>
      <c r="K35" s="2"/>
    </row>
    <row r="36" spans="1:11" ht="15.75" customHeight="1" x14ac:dyDescent="0.3">
      <c r="A36" s="36"/>
      <c r="B36" s="32"/>
      <c r="C36" s="32"/>
      <c r="D36" s="32"/>
      <c r="E36" s="32"/>
      <c r="F36" s="327"/>
      <c r="G36" s="32"/>
      <c r="H36" s="32"/>
      <c r="I36" s="34"/>
      <c r="J36" s="2"/>
      <c r="K36" s="2"/>
    </row>
    <row r="37" spans="1:11" ht="15.75" customHeight="1" x14ac:dyDescent="0.3">
      <c r="A37" s="31"/>
      <c r="B37" s="32"/>
      <c r="C37" s="32"/>
      <c r="D37" s="32"/>
      <c r="E37" s="32"/>
      <c r="F37" s="327"/>
      <c r="G37" s="32"/>
      <c r="H37" s="32"/>
      <c r="I37" s="34"/>
      <c r="J37" s="2"/>
      <c r="K37" s="2"/>
    </row>
    <row r="38" spans="1:11" ht="15.75" customHeight="1" x14ac:dyDescent="0.3">
      <c r="A38" s="31"/>
      <c r="B38" s="32"/>
      <c r="C38" s="32"/>
      <c r="D38" s="32"/>
      <c r="E38" s="32"/>
      <c r="F38" s="327"/>
      <c r="G38" s="32"/>
      <c r="H38" s="32"/>
      <c r="I38" s="34"/>
      <c r="J38" s="2"/>
      <c r="K38" s="2"/>
    </row>
    <row r="39" spans="1:11" ht="15.75" customHeight="1" x14ac:dyDescent="0.3">
      <c r="A39" s="31"/>
      <c r="B39" s="32"/>
      <c r="C39" s="32"/>
      <c r="D39" s="32"/>
      <c r="E39" s="32"/>
      <c r="F39" s="327"/>
      <c r="G39" s="32"/>
      <c r="H39" s="32"/>
      <c r="I39" s="34"/>
      <c r="J39" s="2"/>
      <c r="K39" s="2"/>
    </row>
    <row r="40" spans="1:11" ht="15.75" customHeight="1" x14ac:dyDescent="0.3">
      <c r="A40" s="31"/>
      <c r="B40" s="32"/>
      <c r="C40" s="32"/>
      <c r="D40" s="32"/>
      <c r="E40" s="32"/>
      <c r="F40" s="327"/>
      <c r="G40" s="32"/>
      <c r="H40" s="32"/>
      <c r="I40" s="34"/>
      <c r="J40" s="2"/>
      <c r="K40" s="2"/>
    </row>
    <row r="41" spans="1:11" ht="15.75" customHeight="1" x14ac:dyDescent="0.3">
      <c r="A41" s="31"/>
      <c r="B41" s="32"/>
      <c r="C41" s="32"/>
      <c r="D41" s="32"/>
      <c r="E41" s="32"/>
      <c r="F41" s="327"/>
      <c r="G41" s="32"/>
      <c r="H41" s="32"/>
      <c r="I41" s="34"/>
      <c r="J41" s="2"/>
      <c r="K41" s="2"/>
    </row>
    <row r="42" spans="1:11" ht="15.75" customHeight="1" x14ac:dyDescent="0.4">
      <c r="A42" s="31"/>
      <c r="B42" s="328">
        <f>D4</f>
        <v>150</v>
      </c>
      <c r="C42" s="327"/>
      <c r="D42" s="327"/>
      <c r="E42" s="32"/>
      <c r="F42" s="2"/>
      <c r="G42" s="32"/>
      <c r="H42" s="32"/>
      <c r="I42" s="34"/>
      <c r="J42" s="2"/>
      <c r="K42" s="2"/>
    </row>
    <row r="43" spans="1:11" ht="15.75" customHeight="1" x14ac:dyDescent="0.3">
      <c r="A43" s="31"/>
      <c r="B43" s="32"/>
      <c r="C43" s="33"/>
      <c r="D43" s="32"/>
      <c r="E43" s="32"/>
      <c r="F43" s="32"/>
      <c r="G43" s="32"/>
      <c r="H43" s="32"/>
      <c r="I43" s="34"/>
      <c r="J43" s="2"/>
      <c r="K43" s="2"/>
    </row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46">
    <mergeCell ref="I19:I21"/>
    <mergeCell ref="A5:C5"/>
    <mergeCell ref="A4:C4"/>
    <mergeCell ref="A13:A15"/>
    <mergeCell ref="A16:A17"/>
    <mergeCell ref="A10:A12"/>
    <mergeCell ref="D18:F18"/>
    <mergeCell ref="D10:F10"/>
    <mergeCell ref="D14:F14"/>
    <mergeCell ref="D13:F13"/>
    <mergeCell ref="D12:F12"/>
    <mergeCell ref="E17:F17"/>
    <mergeCell ref="D15:F15"/>
    <mergeCell ref="I8:K8"/>
    <mergeCell ref="B16:B17"/>
    <mergeCell ref="A2:H2"/>
    <mergeCell ref="A1:H1"/>
    <mergeCell ref="C6:H6"/>
    <mergeCell ref="A3:C3"/>
    <mergeCell ref="D11:F11"/>
    <mergeCell ref="A7:B7"/>
    <mergeCell ref="E4:H4"/>
    <mergeCell ref="E3:H3"/>
    <mergeCell ref="C7:H7"/>
    <mergeCell ref="E5:H5"/>
    <mergeCell ref="A6:B6"/>
    <mergeCell ref="D8:F9"/>
    <mergeCell ref="C8:C9"/>
    <mergeCell ref="A8:B9"/>
    <mergeCell ref="G8:G9"/>
    <mergeCell ref="H8:H9"/>
    <mergeCell ref="F32:F41"/>
    <mergeCell ref="B42:D42"/>
    <mergeCell ref="E16:F16"/>
    <mergeCell ref="C27:H27"/>
    <mergeCell ref="D19:F19"/>
    <mergeCell ref="D26:F26"/>
    <mergeCell ref="C28:H28"/>
    <mergeCell ref="A29:E30"/>
    <mergeCell ref="A28:B28"/>
    <mergeCell ref="A27:B27"/>
    <mergeCell ref="D23:F23"/>
    <mergeCell ref="D25:F25"/>
    <mergeCell ref="F29:H29"/>
    <mergeCell ref="F30:H30"/>
    <mergeCell ref="C16:C17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workbookViewId="0">
      <selection sqref="A1:H1"/>
    </sheetView>
  </sheetViews>
  <sheetFormatPr baseColWidth="10" defaultColWidth="14.44140625" defaultRowHeight="15" customHeight="1" x14ac:dyDescent="0.3"/>
  <cols>
    <col min="1" max="1" width="15.88671875" customWidth="1"/>
    <col min="2" max="2" width="18" customWidth="1"/>
    <col min="3" max="3" width="9.5546875" customWidth="1"/>
    <col min="4" max="4" width="13.5546875" customWidth="1"/>
    <col min="5" max="5" width="8.6640625" customWidth="1"/>
    <col min="6" max="6" width="3.88671875" customWidth="1"/>
    <col min="7" max="7" width="6.5546875" customWidth="1"/>
    <col min="8" max="8" width="9.5546875" customWidth="1"/>
    <col min="9" max="9" width="16.109375" customWidth="1"/>
    <col min="10" max="10" width="18.109375" customWidth="1"/>
    <col min="11" max="11" width="14.6640625" customWidth="1"/>
  </cols>
  <sheetData>
    <row r="1" spans="1:11" ht="22.8" x14ac:dyDescent="0.4">
      <c r="A1" s="344"/>
      <c r="B1" s="332"/>
      <c r="C1" s="332"/>
      <c r="D1" s="332"/>
      <c r="E1" s="332"/>
      <c r="F1" s="332"/>
      <c r="G1" s="332"/>
      <c r="H1" s="330"/>
      <c r="I1" s="1"/>
      <c r="J1" s="2"/>
      <c r="K1" s="2"/>
    </row>
    <row r="2" spans="1:11" ht="21" customHeight="1" x14ac:dyDescent="0.4">
      <c r="A2" s="343" t="s">
        <v>60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1" ht="21" x14ac:dyDescent="0.4">
      <c r="A3" s="345" t="s">
        <v>3</v>
      </c>
      <c r="B3" s="332"/>
      <c r="C3" s="330"/>
      <c r="D3" s="37">
        <v>150</v>
      </c>
      <c r="E3" s="345" t="s">
        <v>4</v>
      </c>
      <c r="F3" s="332"/>
      <c r="G3" s="332"/>
      <c r="H3" s="330"/>
      <c r="I3" s="1"/>
      <c r="J3" s="2"/>
      <c r="K3" s="2"/>
    </row>
    <row r="4" spans="1:11" ht="21" x14ac:dyDescent="0.4">
      <c r="A4" s="347" t="s">
        <v>6</v>
      </c>
      <c r="B4" s="332"/>
      <c r="C4" s="330"/>
      <c r="D4" s="37">
        <v>300</v>
      </c>
      <c r="E4" s="345" t="s">
        <v>4</v>
      </c>
      <c r="F4" s="332"/>
      <c r="G4" s="332"/>
      <c r="H4" s="330"/>
      <c r="I4" s="7"/>
      <c r="J4" s="2"/>
      <c r="K4" s="2"/>
    </row>
    <row r="5" spans="1:11" ht="21" x14ac:dyDescent="0.4">
      <c r="A5" s="347" t="s">
        <v>7</v>
      </c>
      <c r="B5" s="332"/>
      <c r="C5" s="330"/>
      <c r="D5" s="38">
        <v>1</v>
      </c>
      <c r="E5" s="345"/>
      <c r="F5" s="332"/>
      <c r="G5" s="332"/>
      <c r="H5" s="330"/>
      <c r="I5" s="39"/>
      <c r="J5" s="2"/>
      <c r="K5" s="2"/>
    </row>
    <row r="6" spans="1:11" ht="17.399999999999999" x14ac:dyDescent="0.3">
      <c r="A6" s="347" t="s">
        <v>8</v>
      </c>
      <c r="B6" s="330"/>
      <c r="C6" s="331"/>
      <c r="D6" s="332"/>
      <c r="E6" s="332"/>
      <c r="F6" s="332"/>
      <c r="G6" s="332"/>
      <c r="H6" s="330"/>
      <c r="J6" s="2"/>
      <c r="K6" s="2"/>
    </row>
    <row r="7" spans="1:11" ht="15.75" customHeight="1" x14ac:dyDescent="0.3">
      <c r="A7" s="347" t="s">
        <v>9</v>
      </c>
      <c r="B7" s="330"/>
      <c r="C7" s="331"/>
      <c r="D7" s="332"/>
      <c r="E7" s="332"/>
      <c r="F7" s="332"/>
      <c r="G7" s="332"/>
      <c r="H7" s="330"/>
      <c r="I7" s="34"/>
      <c r="J7" s="2"/>
      <c r="K7" s="2"/>
    </row>
    <row r="8" spans="1:11" ht="15" customHeight="1" x14ac:dyDescent="0.3">
      <c r="A8" s="350" t="s">
        <v>61</v>
      </c>
      <c r="B8" s="336"/>
      <c r="C8" s="349" t="s">
        <v>11</v>
      </c>
      <c r="D8" s="348" t="s">
        <v>12</v>
      </c>
      <c r="E8" s="335"/>
      <c r="F8" s="336"/>
      <c r="G8" s="351" t="s">
        <v>13</v>
      </c>
      <c r="H8" s="351" t="s">
        <v>14</v>
      </c>
      <c r="I8" s="34"/>
      <c r="J8" s="2"/>
      <c r="K8" s="2"/>
    </row>
    <row r="9" spans="1:11" ht="21" x14ac:dyDescent="0.4">
      <c r="A9" s="337"/>
      <c r="B9" s="339"/>
      <c r="C9" s="342"/>
      <c r="D9" s="337"/>
      <c r="E9" s="338"/>
      <c r="F9" s="339"/>
      <c r="G9" s="342"/>
      <c r="H9" s="342"/>
      <c r="I9" s="366"/>
      <c r="J9" s="332"/>
      <c r="K9" s="330"/>
    </row>
    <row r="10" spans="1:11" ht="21" x14ac:dyDescent="0.4">
      <c r="A10" s="363" t="s">
        <v>19</v>
      </c>
      <c r="B10" s="13" t="s">
        <v>20</v>
      </c>
      <c r="C10" s="13" t="s">
        <v>21</v>
      </c>
      <c r="D10" s="346">
        <f>D4</f>
        <v>300</v>
      </c>
      <c r="E10" s="332"/>
      <c r="F10" s="330"/>
      <c r="G10" s="13">
        <f>D5*1</f>
        <v>1</v>
      </c>
      <c r="H10" s="13">
        <v>90</v>
      </c>
      <c r="I10" s="41"/>
      <c r="J10" s="41"/>
      <c r="K10" s="41"/>
    </row>
    <row r="11" spans="1:11" ht="14.4" x14ac:dyDescent="0.3">
      <c r="A11" s="354"/>
      <c r="B11" s="13" t="s">
        <v>23</v>
      </c>
      <c r="C11" s="13" t="s">
        <v>24</v>
      </c>
      <c r="D11" s="346">
        <f>D4</f>
        <v>300</v>
      </c>
      <c r="E11" s="332"/>
      <c r="F11" s="330"/>
      <c r="G11" s="13">
        <f>D5*1</f>
        <v>1</v>
      </c>
      <c r="H11" s="13">
        <v>90</v>
      </c>
      <c r="I11" s="42"/>
      <c r="J11" s="42"/>
      <c r="K11" s="43"/>
    </row>
    <row r="12" spans="1:11" ht="14.4" x14ac:dyDescent="0.3">
      <c r="A12" s="342"/>
      <c r="B12" s="13" t="s">
        <v>26</v>
      </c>
      <c r="C12" s="13" t="s">
        <v>27</v>
      </c>
      <c r="D12" s="346">
        <f>D3-1.5</f>
        <v>148.5</v>
      </c>
      <c r="E12" s="332"/>
      <c r="F12" s="330"/>
      <c r="G12" s="13">
        <f>D5*2</f>
        <v>2</v>
      </c>
      <c r="H12" s="13">
        <v>90</v>
      </c>
      <c r="I12" s="42"/>
      <c r="J12" s="42"/>
      <c r="K12" s="43"/>
    </row>
    <row r="13" spans="1:11" ht="14.4" x14ac:dyDescent="0.3">
      <c r="A13" s="363" t="s">
        <v>29</v>
      </c>
      <c r="B13" s="13" t="s">
        <v>30</v>
      </c>
      <c r="C13" s="13" t="s">
        <v>31</v>
      </c>
      <c r="D13" s="346">
        <f>D3-3</f>
        <v>147</v>
      </c>
      <c r="E13" s="332"/>
      <c r="F13" s="330"/>
      <c r="G13" s="13">
        <f>D5*4</f>
        <v>4</v>
      </c>
      <c r="H13" s="13">
        <v>90</v>
      </c>
      <c r="I13" s="42"/>
      <c r="J13" s="42"/>
      <c r="K13" s="43"/>
    </row>
    <row r="14" spans="1:11" ht="14.4" x14ac:dyDescent="0.3">
      <c r="A14" s="354"/>
      <c r="B14" s="13" t="s">
        <v>33</v>
      </c>
      <c r="C14" s="13" t="s">
        <v>34</v>
      </c>
      <c r="D14" s="346">
        <f>D3-3</f>
        <v>147</v>
      </c>
      <c r="E14" s="332"/>
      <c r="F14" s="330"/>
      <c r="G14" s="13">
        <f>D5*2</f>
        <v>2</v>
      </c>
      <c r="H14" s="13">
        <v>90</v>
      </c>
      <c r="I14" s="42"/>
      <c r="J14" s="42"/>
      <c r="K14" s="43"/>
    </row>
    <row r="15" spans="1:11" ht="14.4" x14ac:dyDescent="0.3">
      <c r="A15" s="354"/>
      <c r="B15" s="13" t="s">
        <v>62</v>
      </c>
      <c r="C15" s="362" t="s">
        <v>37</v>
      </c>
      <c r="D15" s="346">
        <f>(D4-11)/4</f>
        <v>72.25</v>
      </c>
      <c r="E15" s="332"/>
      <c r="F15" s="330"/>
      <c r="G15" s="13">
        <f>D5*4</f>
        <v>4</v>
      </c>
      <c r="H15" s="13">
        <v>90</v>
      </c>
      <c r="I15" s="42"/>
      <c r="J15" s="42"/>
      <c r="K15" s="43"/>
    </row>
    <row r="16" spans="1:11" ht="14.4" x14ac:dyDescent="0.3">
      <c r="A16" s="342"/>
      <c r="B16" s="13" t="s">
        <v>63</v>
      </c>
      <c r="C16" s="342"/>
      <c r="D16" s="346">
        <f>((D4+8.4)/4)*2</f>
        <v>154.19999999999999</v>
      </c>
      <c r="E16" s="332"/>
      <c r="F16" s="330"/>
      <c r="G16" s="13">
        <f>D5*2</f>
        <v>2</v>
      </c>
      <c r="H16" s="13">
        <v>90</v>
      </c>
      <c r="I16" s="44"/>
      <c r="J16" s="42"/>
      <c r="K16" s="43"/>
    </row>
    <row r="17" spans="1:11" ht="22.5" customHeight="1" x14ac:dyDescent="0.3">
      <c r="A17" s="367" t="s">
        <v>39</v>
      </c>
      <c r="B17" s="45" t="s">
        <v>64</v>
      </c>
      <c r="C17" s="46"/>
      <c r="D17" s="47" t="s">
        <v>3</v>
      </c>
      <c r="E17" s="365" t="s">
        <v>41</v>
      </c>
      <c r="F17" s="330"/>
      <c r="G17" s="48"/>
      <c r="H17" s="49"/>
      <c r="I17" s="34"/>
      <c r="J17" s="2"/>
      <c r="K17" s="2"/>
    </row>
    <row r="18" spans="1:11" ht="14.4" x14ac:dyDescent="0.3">
      <c r="A18" s="354"/>
      <c r="B18" s="50" t="s">
        <v>65</v>
      </c>
      <c r="C18" s="51"/>
      <c r="D18" s="52">
        <f>D13-6.5</f>
        <v>140.5</v>
      </c>
      <c r="E18" s="364">
        <f>D15-1.9</f>
        <v>70.349999999999994</v>
      </c>
      <c r="F18" s="330"/>
      <c r="G18" s="49">
        <f>D5*2</f>
        <v>2</v>
      </c>
      <c r="H18" s="49"/>
      <c r="I18" s="34"/>
      <c r="J18" s="2"/>
      <c r="K18" s="2"/>
    </row>
    <row r="19" spans="1:11" ht="14.4" x14ac:dyDescent="0.3">
      <c r="A19" s="342"/>
      <c r="B19" s="50" t="s">
        <v>66</v>
      </c>
      <c r="C19" s="50"/>
      <c r="D19" s="52">
        <f>D13-6.5</f>
        <v>140.5</v>
      </c>
      <c r="E19" s="364">
        <f>D16-3</f>
        <v>151.19999999999999</v>
      </c>
      <c r="F19" s="330"/>
      <c r="G19" s="49">
        <f>D5*1</f>
        <v>1</v>
      </c>
      <c r="H19" s="49"/>
      <c r="I19" s="34"/>
      <c r="J19" s="2"/>
      <c r="K19" s="2"/>
    </row>
    <row r="20" spans="1:11" ht="14.4" x14ac:dyDescent="0.3">
      <c r="A20" s="13" t="s">
        <v>42</v>
      </c>
      <c r="B20" s="13">
        <v>5020</v>
      </c>
      <c r="C20" s="53"/>
      <c r="D20" s="356"/>
      <c r="E20" s="332"/>
      <c r="F20" s="330"/>
      <c r="G20" s="54">
        <f>(D18*4)+(E18*4)+(D19*2)+(E19*2)*D5</f>
        <v>1426.8000000000002</v>
      </c>
      <c r="H20" s="13" t="s">
        <v>43</v>
      </c>
      <c r="I20" s="34"/>
      <c r="J20" s="2"/>
      <c r="K20" s="2"/>
    </row>
    <row r="21" spans="1:11" ht="15.75" customHeight="1" x14ac:dyDescent="0.3">
      <c r="A21" s="13" t="s">
        <v>44</v>
      </c>
      <c r="B21" s="13" t="s">
        <v>67</v>
      </c>
      <c r="C21" s="13"/>
      <c r="D21" s="340"/>
      <c r="E21" s="332"/>
      <c r="F21" s="330"/>
      <c r="G21" s="13">
        <f>D5*16</f>
        <v>16</v>
      </c>
      <c r="H21" s="13"/>
      <c r="I21" s="34"/>
      <c r="J21" s="2"/>
      <c r="K21" s="2"/>
    </row>
    <row r="22" spans="1:11" ht="15.75" customHeight="1" x14ac:dyDescent="0.3">
      <c r="A22" s="13"/>
      <c r="B22" s="13" t="s">
        <v>68</v>
      </c>
      <c r="C22" s="13"/>
      <c r="D22" s="22"/>
      <c r="E22" s="25"/>
      <c r="F22" s="24"/>
      <c r="G22" s="24">
        <f>D5*4</f>
        <v>4</v>
      </c>
      <c r="H22" s="13"/>
      <c r="I22" s="34"/>
      <c r="J22" s="2"/>
      <c r="K22" s="2"/>
    </row>
    <row r="23" spans="1:11" ht="15.75" customHeight="1" x14ac:dyDescent="0.3">
      <c r="A23" s="13"/>
      <c r="B23" s="13" t="s">
        <v>69</v>
      </c>
      <c r="C23" s="13"/>
      <c r="D23" s="368"/>
      <c r="E23" s="338"/>
      <c r="F23" s="339"/>
      <c r="G23" s="13">
        <f>D5*6</f>
        <v>6</v>
      </c>
      <c r="H23" s="13"/>
      <c r="I23" s="34"/>
      <c r="J23" s="2"/>
      <c r="K23" s="2"/>
    </row>
    <row r="24" spans="1:11" ht="15.75" customHeight="1" x14ac:dyDescent="0.3">
      <c r="A24" s="13" t="s">
        <v>50</v>
      </c>
      <c r="B24" s="13" t="s">
        <v>51</v>
      </c>
      <c r="C24" s="13">
        <v>5020</v>
      </c>
      <c r="D24" s="333"/>
      <c r="E24" s="332"/>
      <c r="F24" s="330"/>
      <c r="G24" s="13">
        <f>D5*4</f>
        <v>4</v>
      </c>
      <c r="H24" s="13"/>
      <c r="I24" s="34"/>
      <c r="J24" s="2"/>
      <c r="K24" s="2"/>
    </row>
    <row r="25" spans="1:11" ht="15.75" customHeight="1" x14ac:dyDescent="0.3">
      <c r="A25" s="13" t="s">
        <v>70</v>
      </c>
      <c r="B25" s="30">
        <v>0.25</v>
      </c>
      <c r="C25" s="13"/>
      <c r="D25" s="333"/>
      <c r="E25" s="332"/>
      <c r="F25" s="330"/>
      <c r="G25" s="13">
        <f>D5*6</f>
        <v>6</v>
      </c>
      <c r="H25" s="13"/>
      <c r="I25" s="34"/>
      <c r="J25" s="2"/>
      <c r="K25" s="2"/>
    </row>
    <row r="26" spans="1:11" ht="15.75" customHeight="1" x14ac:dyDescent="0.3">
      <c r="A26" s="13" t="s">
        <v>48</v>
      </c>
      <c r="B26" s="26" t="s">
        <v>49</v>
      </c>
      <c r="C26" s="13"/>
      <c r="D26" s="333"/>
      <c r="E26" s="332"/>
      <c r="F26" s="330"/>
      <c r="G26" s="13">
        <f>D5*4</f>
        <v>4</v>
      </c>
      <c r="H26" s="13"/>
      <c r="I26" s="34"/>
      <c r="J26" s="2"/>
      <c r="K26" s="2"/>
    </row>
    <row r="27" spans="1:11" ht="15.75" customHeight="1" x14ac:dyDescent="0.3">
      <c r="A27" s="13" t="s">
        <v>53</v>
      </c>
      <c r="B27" s="13">
        <v>5020</v>
      </c>
      <c r="C27" s="13"/>
      <c r="D27" s="333"/>
      <c r="E27" s="332"/>
      <c r="F27" s="330"/>
      <c r="G27" s="13">
        <f>D5*6</f>
        <v>6</v>
      </c>
      <c r="H27" s="13"/>
      <c r="I27" s="34"/>
      <c r="J27" s="2"/>
      <c r="K27" s="2"/>
    </row>
    <row r="28" spans="1:11" ht="15.75" customHeight="1" x14ac:dyDescent="0.3">
      <c r="A28" s="13" t="s">
        <v>54</v>
      </c>
      <c r="B28" s="13" t="s">
        <v>55</v>
      </c>
      <c r="C28" s="13"/>
      <c r="D28" s="333"/>
      <c r="E28" s="332"/>
      <c r="F28" s="330"/>
      <c r="G28" s="13">
        <f>D5*2</f>
        <v>2</v>
      </c>
      <c r="H28" s="13"/>
      <c r="I28" s="34"/>
      <c r="J28" s="2"/>
      <c r="K28" s="2"/>
    </row>
    <row r="29" spans="1:11" ht="15.75" customHeight="1" x14ac:dyDescent="0.3">
      <c r="A29" s="331" t="s">
        <v>56</v>
      </c>
      <c r="B29" s="330"/>
      <c r="C29" s="331"/>
      <c r="D29" s="332"/>
      <c r="E29" s="332"/>
      <c r="F29" s="332"/>
      <c r="G29" s="332"/>
      <c r="H29" s="330"/>
      <c r="I29" s="34"/>
      <c r="J29" s="2"/>
      <c r="K29" s="2"/>
    </row>
    <row r="30" spans="1:11" ht="15.75" customHeight="1" x14ac:dyDescent="0.3">
      <c r="A30" s="331" t="s">
        <v>57</v>
      </c>
      <c r="B30" s="330"/>
      <c r="C30" s="331"/>
      <c r="D30" s="332"/>
      <c r="E30" s="332"/>
      <c r="F30" s="332"/>
      <c r="G30" s="332"/>
      <c r="H30" s="330"/>
      <c r="I30" s="34"/>
      <c r="J30" s="2"/>
      <c r="K30" s="2"/>
    </row>
    <row r="31" spans="1:11" ht="15" customHeight="1" x14ac:dyDescent="0.3">
      <c r="A31" s="360" t="s">
        <v>58</v>
      </c>
      <c r="B31" s="327"/>
      <c r="C31" s="327"/>
      <c r="D31" s="327"/>
      <c r="E31" s="361"/>
      <c r="F31" s="331"/>
      <c r="G31" s="332"/>
      <c r="H31" s="330"/>
      <c r="I31" s="34"/>
      <c r="J31" s="2"/>
      <c r="K31" s="2"/>
    </row>
    <row r="32" spans="1:11" ht="15.75" customHeight="1" x14ac:dyDescent="0.3">
      <c r="A32" s="337"/>
      <c r="B32" s="338"/>
      <c r="C32" s="338"/>
      <c r="D32" s="338"/>
      <c r="E32" s="339"/>
      <c r="F32" s="331" t="s">
        <v>59</v>
      </c>
      <c r="G32" s="332"/>
      <c r="H32" s="330"/>
      <c r="I32" s="34"/>
      <c r="J32" s="2"/>
      <c r="K32" s="2"/>
    </row>
    <row r="33" spans="1:11" ht="15.75" customHeight="1" x14ac:dyDescent="0.3">
      <c r="A33" s="55"/>
      <c r="B33" s="55"/>
      <c r="C33" s="55"/>
      <c r="D33" s="55"/>
      <c r="E33" s="55"/>
      <c r="F33" s="55"/>
      <c r="G33" s="55"/>
      <c r="H33" s="55"/>
      <c r="I33" s="34"/>
      <c r="J33" s="2"/>
      <c r="K33" s="2"/>
    </row>
    <row r="34" spans="1:11" ht="15.75" customHeight="1" x14ac:dyDescent="0.3">
      <c r="A34" s="2"/>
      <c r="B34" s="2"/>
      <c r="C34" s="56"/>
      <c r="D34" s="2"/>
      <c r="E34" s="2"/>
      <c r="F34" s="2"/>
      <c r="G34" s="2"/>
      <c r="H34" s="2"/>
      <c r="I34" s="34"/>
      <c r="J34" s="2"/>
      <c r="K34" s="2"/>
    </row>
    <row r="35" spans="1:11" ht="15.75" customHeight="1" x14ac:dyDescent="0.3">
      <c r="A35" s="2"/>
      <c r="B35" s="2"/>
      <c r="C35" s="2"/>
      <c r="D35" s="2"/>
      <c r="E35" s="2"/>
      <c r="F35" s="2"/>
      <c r="G35" s="2"/>
      <c r="H35" s="2"/>
      <c r="I35" s="34"/>
      <c r="J35" s="2"/>
      <c r="K35" s="2"/>
    </row>
    <row r="36" spans="1:11" ht="15.75" customHeight="1" x14ac:dyDescent="0.3">
      <c r="A36" s="2"/>
      <c r="B36" s="2"/>
      <c r="C36" s="2"/>
      <c r="D36" s="2"/>
      <c r="E36" s="2"/>
      <c r="F36" s="326"/>
      <c r="G36" s="2"/>
      <c r="H36" s="2"/>
      <c r="I36" s="34"/>
      <c r="J36" s="2"/>
      <c r="K36" s="2"/>
    </row>
    <row r="37" spans="1:11" ht="15.75" customHeight="1" x14ac:dyDescent="0.3">
      <c r="A37" s="2"/>
      <c r="B37" s="2"/>
      <c r="C37" s="2"/>
      <c r="D37" s="2"/>
      <c r="E37" s="2"/>
      <c r="F37" s="327"/>
      <c r="G37" s="2"/>
      <c r="H37" s="2"/>
      <c r="I37" s="34"/>
      <c r="J37" s="2"/>
      <c r="K37" s="2"/>
    </row>
    <row r="38" spans="1:11" ht="15.75" customHeight="1" x14ac:dyDescent="0.3">
      <c r="A38" s="2"/>
      <c r="B38" s="2"/>
      <c r="C38" s="2"/>
      <c r="D38" s="2"/>
      <c r="E38" s="2"/>
      <c r="F38" s="327"/>
      <c r="G38" s="2"/>
      <c r="H38" s="2"/>
      <c r="I38" s="34"/>
      <c r="J38" s="2"/>
      <c r="K38" s="2"/>
    </row>
    <row r="39" spans="1:11" ht="15.75" customHeight="1" x14ac:dyDescent="0.4">
      <c r="A39" s="56"/>
      <c r="B39" s="2"/>
      <c r="C39" s="2"/>
      <c r="D39" s="2"/>
      <c r="E39" s="2"/>
      <c r="F39" s="327"/>
      <c r="G39" s="328">
        <f>D3</f>
        <v>150</v>
      </c>
      <c r="H39" s="327"/>
      <c r="I39" s="34"/>
      <c r="J39" s="2"/>
      <c r="K39" s="2"/>
    </row>
    <row r="40" spans="1:11" ht="15.75" customHeight="1" x14ac:dyDescent="0.3">
      <c r="A40" s="2"/>
      <c r="B40" s="2"/>
      <c r="C40" s="2"/>
      <c r="D40" s="2"/>
      <c r="E40" s="2"/>
      <c r="F40" s="327"/>
      <c r="G40" s="2"/>
      <c r="H40" s="2"/>
      <c r="I40" s="34"/>
      <c r="J40" s="2"/>
      <c r="K40" s="2"/>
    </row>
    <row r="41" spans="1:11" ht="15.75" customHeight="1" x14ac:dyDescent="0.3">
      <c r="A41" s="2"/>
      <c r="B41" s="2"/>
      <c r="C41" s="2"/>
      <c r="D41" s="2"/>
      <c r="E41" s="2"/>
      <c r="F41" s="327"/>
      <c r="G41" s="2"/>
      <c r="H41" s="2"/>
      <c r="I41" s="34"/>
      <c r="J41" s="2"/>
      <c r="K41" s="2"/>
    </row>
    <row r="42" spans="1:11" ht="15.75" customHeight="1" x14ac:dyDescent="0.3">
      <c r="A42" s="2"/>
      <c r="B42" s="2"/>
      <c r="C42" s="2"/>
      <c r="D42" s="2"/>
      <c r="E42" s="2"/>
      <c r="F42" s="327"/>
      <c r="G42" s="2"/>
      <c r="H42" s="2"/>
      <c r="I42" s="34"/>
      <c r="J42" s="2"/>
      <c r="K42" s="2"/>
    </row>
    <row r="43" spans="1:11" ht="15.75" customHeight="1" x14ac:dyDescent="0.3">
      <c r="A43" s="2"/>
      <c r="B43" s="2"/>
      <c r="C43" s="2"/>
      <c r="D43" s="2"/>
      <c r="E43" s="2"/>
      <c r="F43" s="327"/>
      <c r="G43" s="2"/>
      <c r="H43" s="2"/>
      <c r="I43" s="34"/>
      <c r="J43" s="2"/>
      <c r="K43" s="2"/>
    </row>
    <row r="44" spans="1:11" ht="15.75" customHeight="1" x14ac:dyDescent="0.3">
      <c r="A44" s="2"/>
      <c r="B44" s="2"/>
      <c r="C44" s="2"/>
      <c r="D44" s="2"/>
      <c r="E44" s="2"/>
      <c r="F44" s="327"/>
      <c r="G44" s="2"/>
      <c r="H44" s="2"/>
      <c r="I44" s="34"/>
      <c r="J44" s="2"/>
      <c r="K44" s="2"/>
    </row>
    <row r="45" spans="1:11" ht="15.75" customHeight="1" x14ac:dyDescent="0.3">
      <c r="A45" s="2"/>
      <c r="B45" s="2"/>
      <c r="C45" s="2"/>
      <c r="D45" s="2"/>
      <c r="E45" s="2"/>
      <c r="F45" s="327"/>
      <c r="G45" s="2"/>
      <c r="H45" s="2"/>
      <c r="I45" s="34"/>
      <c r="J45" s="2"/>
      <c r="K45" s="2"/>
    </row>
    <row r="46" spans="1:11" ht="15.75" customHeight="1" x14ac:dyDescent="0.4">
      <c r="A46" s="2"/>
      <c r="B46" s="328">
        <f>D4</f>
        <v>300</v>
      </c>
      <c r="C46" s="327"/>
      <c r="D46" s="327"/>
      <c r="E46" s="327"/>
      <c r="F46" s="327"/>
      <c r="G46" s="2"/>
      <c r="H46" s="2"/>
      <c r="I46" s="34"/>
      <c r="J46" s="2"/>
      <c r="K46" s="2"/>
    </row>
    <row r="47" spans="1:11" ht="15.75" customHeight="1" x14ac:dyDescent="0.3">
      <c r="A47" s="2"/>
      <c r="B47" s="2"/>
      <c r="C47" s="2"/>
      <c r="D47" s="2"/>
      <c r="E47" s="2"/>
      <c r="F47" s="2"/>
      <c r="G47" s="2"/>
      <c r="H47" s="2"/>
      <c r="I47" s="34"/>
      <c r="J47" s="2"/>
      <c r="K47" s="2"/>
    </row>
    <row r="48" spans="1:11" ht="15.75" customHeight="1" x14ac:dyDescent="0.3">
      <c r="A48" s="2"/>
      <c r="B48" s="2"/>
      <c r="D48" s="2"/>
      <c r="E48" s="2"/>
      <c r="F48" s="2"/>
      <c r="G48" s="2"/>
      <c r="H48" s="2"/>
      <c r="I48" s="34"/>
      <c r="J48" s="2"/>
      <c r="K48" s="2"/>
    </row>
    <row r="49" spans="1:11" ht="15.75" customHeight="1" x14ac:dyDescent="0.3">
      <c r="A49" s="2"/>
      <c r="B49" s="2"/>
      <c r="C49" s="2"/>
      <c r="D49" s="2"/>
      <c r="E49" s="2"/>
      <c r="F49" s="2"/>
      <c r="G49" s="2"/>
      <c r="H49" s="2"/>
      <c r="I49" s="34"/>
      <c r="J49" s="2"/>
      <c r="K49" s="2"/>
    </row>
    <row r="50" spans="1:11" ht="15.75" customHeight="1" x14ac:dyDescent="0.3">
      <c r="A50" s="2"/>
      <c r="B50" s="2"/>
      <c r="C50" s="2"/>
      <c r="D50" s="2"/>
      <c r="E50" s="2"/>
      <c r="F50" s="2"/>
      <c r="G50" s="2"/>
      <c r="H50" s="2"/>
      <c r="I50" s="34"/>
      <c r="J50" s="2"/>
      <c r="K50" s="2"/>
    </row>
    <row r="51" spans="1:11" ht="15.75" customHeight="1" x14ac:dyDescent="0.3">
      <c r="A51" s="2"/>
      <c r="B51" s="2"/>
      <c r="C51" s="2"/>
      <c r="D51" s="2"/>
      <c r="E51" s="2"/>
      <c r="F51" s="2"/>
      <c r="G51" s="2"/>
      <c r="H51" s="2"/>
      <c r="I51" s="34"/>
      <c r="J51" s="2"/>
      <c r="K51" s="2"/>
    </row>
    <row r="52" spans="1:11" ht="15.75" customHeight="1" x14ac:dyDescent="0.3">
      <c r="A52" s="2"/>
      <c r="B52" s="2"/>
      <c r="C52" s="2"/>
      <c r="D52" s="2"/>
      <c r="E52" s="2"/>
      <c r="F52" s="2"/>
      <c r="G52" s="2"/>
      <c r="H52" s="2"/>
      <c r="I52" s="34"/>
      <c r="J52" s="2"/>
      <c r="K52" s="2"/>
    </row>
    <row r="53" spans="1:11" ht="15.75" customHeight="1" x14ac:dyDescent="0.3"/>
    <row r="54" spans="1:11" ht="15.75" customHeight="1" x14ac:dyDescent="0.3"/>
    <row r="55" spans="1:11" ht="15.75" customHeight="1" x14ac:dyDescent="0.3"/>
    <row r="56" spans="1:11" ht="15.75" customHeight="1" x14ac:dyDescent="0.3"/>
    <row r="57" spans="1:11" ht="15.75" customHeight="1" x14ac:dyDescent="0.3"/>
    <row r="58" spans="1:11" ht="15.75" customHeight="1" x14ac:dyDescent="0.3"/>
    <row r="59" spans="1:11" ht="15.75" customHeight="1" x14ac:dyDescent="0.3"/>
    <row r="60" spans="1:11" ht="15.75" customHeight="1" x14ac:dyDescent="0.3"/>
    <row r="61" spans="1:11" ht="15.75" customHeight="1" x14ac:dyDescent="0.3"/>
    <row r="62" spans="1:11" ht="15.75" customHeight="1" x14ac:dyDescent="0.3"/>
    <row r="63" spans="1:11" ht="15.75" customHeight="1" x14ac:dyDescent="0.3"/>
    <row r="64" spans="1:11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50">
    <mergeCell ref="G39:H39"/>
    <mergeCell ref="I9:K9"/>
    <mergeCell ref="G8:G9"/>
    <mergeCell ref="H8:H9"/>
    <mergeCell ref="A6:B6"/>
    <mergeCell ref="D12:F12"/>
    <mergeCell ref="D11:F11"/>
    <mergeCell ref="F36:F46"/>
    <mergeCell ref="B46:E46"/>
    <mergeCell ref="D16:F16"/>
    <mergeCell ref="D15:F15"/>
    <mergeCell ref="A17:A19"/>
    <mergeCell ref="E18:F18"/>
    <mergeCell ref="D23:F23"/>
    <mergeCell ref="D24:F24"/>
    <mergeCell ref="D27:F27"/>
    <mergeCell ref="A1:H1"/>
    <mergeCell ref="D10:F10"/>
    <mergeCell ref="D8:F9"/>
    <mergeCell ref="E5:H5"/>
    <mergeCell ref="C6:H6"/>
    <mergeCell ref="E4:H4"/>
    <mergeCell ref="E3:H3"/>
    <mergeCell ref="A2:H2"/>
    <mergeCell ref="A7:B7"/>
    <mergeCell ref="A8:B9"/>
    <mergeCell ref="C8:C9"/>
    <mergeCell ref="C7:H7"/>
    <mergeCell ref="D20:F20"/>
    <mergeCell ref="D21:F21"/>
    <mergeCell ref="E17:F17"/>
    <mergeCell ref="A3:C3"/>
    <mergeCell ref="A5:C5"/>
    <mergeCell ref="A4:C4"/>
    <mergeCell ref="A31:E32"/>
    <mergeCell ref="A29:B29"/>
    <mergeCell ref="C15:C16"/>
    <mergeCell ref="A10:A12"/>
    <mergeCell ref="D26:F26"/>
    <mergeCell ref="D25:F25"/>
    <mergeCell ref="D14:F14"/>
    <mergeCell ref="D13:F13"/>
    <mergeCell ref="F32:H32"/>
    <mergeCell ref="F31:H31"/>
    <mergeCell ref="C29:H29"/>
    <mergeCell ref="C30:H30"/>
    <mergeCell ref="A13:A16"/>
    <mergeCell ref="A30:B30"/>
    <mergeCell ref="D28:F28"/>
    <mergeCell ref="E19:F19"/>
  </mergeCells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workbookViewId="0">
      <selection sqref="A1:H1"/>
    </sheetView>
  </sheetViews>
  <sheetFormatPr baseColWidth="10" defaultColWidth="14.44140625" defaultRowHeight="15" customHeight="1" x14ac:dyDescent="0.3"/>
  <cols>
    <col min="1" max="1" width="18.109375" customWidth="1"/>
    <col min="2" max="2" width="18.44140625" customWidth="1"/>
    <col min="3" max="3" width="9.6640625" customWidth="1"/>
    <col min="4" max="4" width="9.44140625" customWidth="1"/>
    <col min="5" max="5" width="6.6640625" customWidth="1"/>
    <col min="6" max="6" width="3.6640625" customWidth="1"/>
    <col min="7" max="7" width="10.88671875" customWidth="1"/>
    <col min="8" max="8" width="8" customWidth="1"/>
    <col min="9" max="9" width="16.109375" customWidth="1"/>
    <col min="10" max="10" width="18.44140625" customWidth="1"/>
    <col min="11" max="11" width="15.33203125" customWidth="1"/>
  </cols>
  <sheetData>
    <row r="1" spans="1:11" ht="22.8" x14ac:dyDescent="0.4">
      <c r="A1" s="344"/>
      <c r="B1" s="332"/>
      <c r="C1" s="332"/>
      <c r="D1" s="332"/>
      <c r="E1" s="332"/>
      <c r="F1" s="332"/>
      <c r="G1" s="332"/>
      <c r="H1" s="330"/>
      <c r="I1" s="4"/>
      <c r="J1" s="2"/>
      <c r="K1" s="2"/>
    </row>
    <row r="2" spans="1:11" ht="21" x14ac:dyDescent="0.4">
      <c r="A2" s="343" t="s">
        <v>71</v>
      </c>
      <c r="B2" s="332"/>
      <c r="C2" s="332"/>
      <c r="D2" s="332"/>
      <c r="E2" s="332"/>
      <c r="F2" s="332"/>
      <c r="G2" s="332"/>
      <c r="H2" s="330"/>
      <c r="I2" s="57"/>
      <c r="J2" s="2"/>
      <c r="K2" s="2"/>
    </row>
    <row r="3" spans="1:11" ht="21" x14ac:dyDescent="0.4">
      <c r="A3" s="345" t="s">
        <v>3</v>
      </c>
      <c r="B3" s="332"/>
      <c r="C3" s="330"/>
      <c r="D3" s="37">
        <v>110</v>
      </c>
      <c r="E3" s="345" t="s">
        <v>4</v>
      </c>
      <c r="F3" s="332"/>
      <c r="G3" s="332"/>
      <c r="H3" s="330"/>
      <c r="I3" s="1"/>
      <c r="J3" s="2"/>
      <c r="K3" s="2"/>
    </row>
    <row r="4" spans="1:11" ht="21" x14ac:dyDescent="0.4">
      <c r="A4" s="373" t="s">
        <v>6</v>
      </c>
      <c r="B4" s="332"/>
      <c r="C4" s="330"/>
      <c r="D4" s="37">
        <v>238</v>
      </c>
      <c r="E4" s="345" t="s">
        <v>4</v>
      </c>
      <c r="F4" s="332"/>
      <c r="G4" s="332"/>
      <c r="H4" s="330"/>
      <c r="I4" s="58"/>
      <c r="J4" s="2"/>
      <c r="K4" s="2"/>
    </row>
    <row r="5" spans="1:11" ht="21" customHeight="1" x14ac:dyDescent="0.4">
      <c r="A5" s="373" t="s">
        <v>7</v>
      </c>
      <c r="B5" s="332"/>
      <c r="C5" s="330"/>
      <c r="D5" s="38">
        <v>1</v>
      </c>
      <c r="E5" s="345"/>
      <c r="F5" s="332"/>
      <c r="G5" s="332"/>
      <c r="H5" s="330"/>
      <c r="I5" s="59"/>
      <c r="J5" s="2"/>
      <c r="K5" s="2"/>
    </row>
    <row r="6" spans="1:11" ht="21" x14ac:dyDescent="0.4">
      <c r="A6" s="345" t="s">
        <v>72</v>
      </c>
      <c r="B6" s="330"/>
      <c r="C6" s="345"/>
      <c r="D6" s="332"/>
      <c r="E6" s="332"/>
      <c r="F6" s="332"/>
      <c r="G6" s="332"/>
      <c r="H6" s="330"/>
      <c r="J6" s="2"/>
      <c r="K6" s="2"/>
    </row>
    <row r="7" spans="1:11" ht="21" x14ac:dyDescent="0.4">
      <c r="A7" s="345" t="s">
        <v>9</v>
      </c>
      <c r="B7" s="330"/>
      <c r="C7" s="345"/>
      <c r="D7" s="332"/>
      <c r="E7" s="332"/>
      <c r="F7" s="332"/>
      <c r="G7" s="332"/>
      <c r="H7" s="330"/>
      <c r="I7" s="366"/>
      <c r="J7" s="332"/>
      <c r="K7" s="330"/>
    </row>
    <row r="8" spans="1:11" ht="26.4" x14ac:dyDescent="0.4">
      <c r="A8" s="373" t="s">
        <v>61</v>
      </c>
      <c r="B8" s="330"/>
      <c r="C8" s="60" t="s">
        <v>11</v>
      </c>
      <c r="D8" s="376" t="s">
        <v>12</v>
      </c>
      <c r="E8" s="332"/>
      <c r="F8" s="330"/>
      <c r="G8" s="61" t="s">
        <v>13</v>
      </c>
      <c r="H8" s="62" t="s">
        <v>14</v>
      </c>
      <c r="I8" s="12"/>
      <c r="J8" s="12"/>
      <c r="K8" s="12"/>
    </row>
    <row r="9" spans="1:11" ht="14.4" x14ac:dyDescent="0.3">
      <c r="A9" s="374" t="s">
        <v>19</v>
      </c>
      <c r="B9" s="13" t="s">
        <v>20</v>
      </c>
      <c r="C9" s="13" t="s">
        <v>21</v>
      </c>
      <c r="D9" s="346">
        <f>D4</f>
        <v>238</v>
      </c>
      <c r="E9" s="332"/>
      <c r="F9" s="330"/>
      <c r="G9" s="13">
        <f>D5*1</f>
        <v>1</v>
      </c>
      <c r="H9" s="13">
        <v>90</v>
      </c>
      <c r="I9" s="13"/>
      <c r="J9" s="13"/>
      <c r="K9" s="14"/>
    </row>
    <row r="10" spans="1:11" ht="14.4" x14ac:dyDescent="0.3">
      <c r="A10" s="354"/>
      <c r="B10" s="13" t="s">
        <v>23</v>
      </c>
      <c r="C10" s="13" t="s">
        <v>24</v>
      </c>
      <c r="D10" s="346">
        <f>D4</f>
        <v>238</v>
      </c>
      <c r="E10" s="332"/>
      <c r="F10" s="330"/>
      <c r="G10" s="13">
        <f>D5*1</f>
        <v>1</v>
      </c>
      <c r="H10" s="13">
        <v>90</v>
      </c>
      <c r="I10" s="13"/>
      <c r="J10" s="13"/>
      <c r="K10" s="14"/>
    </row>
    <row r="11" spans="1:11" ht="14.4" x14ac:dyDescent="0.3">
      <c r="A11" s="342"/>
      <c r="B11" s="13" t="s">
        <v>26</v>
      </c>
      <c r="C11" s="13" t="s">
        <v>73</v>
      </c>
      <c r="D11" s="346">
        <f>D3-1.5</f>
        <v>108.5</v>
      </c>
      <c r="E11" s="332"/>
      <c r="F11" s="330"/>
      <c r="G11" s="13">
        <f>D5*2</f>
        <v>2</v>
      </c>
      <c r="H11" s="13">
        <v>90</v>
      </c>
      <c r="I11" s="13"/>
      <c r="J11" s="13"/>
      <c r="K11" s="14"/>
    </row>
    <row r="12" spans="1:11" ht="14.4" x14ac:dyDescent="0.3">
      <c r="A12" s="375" t="s">
        <v>29</v>
      </c>
      <c r="B12" s="13" t="s">
        <v>30</v>
      </c>
      <c r="C12" s="13" t="s">
        <v>31</v>
      </c>
      <c r="D12" s="346">
        <f>D3-3</f>
        <v>107</v>
      </c>
      <c r="E12" s="332"/>
      <c r="F12" s="330"/>
      <c r="G12" s="13">
        <f>D5*4</f>
        <v>4</v>
      </c>
      <c r="H12" s="13">
        <v>90</v>
      </c>
      <c r="I12" s="13"/>
      <c r="J12" s="13"/>
      <c r="K12" s="14"/>
    </row>
    <row r="13" spans="1:11" ht="14.4" x14ac:dyDescent="0.3">
      <c r="A13" s="354"/>
      <c r="B13" s="13" t="s">
        <v>33</v>
      </c>
      <c r="C13" s="13" t="s">
        <v>34</v>
      </c>
      <c r="D13" s="346">
        <f>D3-3</f>
        <v>107</v>
      </c>
      <c r="E13" s="332"/>
      <c r="F13" s="330"/>
      <c r="G13" s="13">
        <f>D5*4</f>
        <v>4</v>
      </c>
      <c r="H13" s="13">
        <v>90</v>
      </c>
      <c r="I13" s="13"/>
      <c r="J13" s="13"/>
      <c r="K13" s="14"/>
    </row>
    <row r="14" spans="1:11" ht="14.4" x14ac:dyDescent="0.3">
      <c r="A14" s="342"/>
      <c r="B14" s="13" t="s">
        <v>36</v>
      </c>
      <c r="C14" s="15" t="s">
        <v>37</v>
      </c>
      <c r="D14" s="346">
        <f>(D4-2.2)/4</f>
        <v>58.95</v>
      </c>
      <c r="E14" s="332"/>
      <c r="F14" s="330"/>
      <c r="G14" s="13">
        <f>D5*8</f>
        <v>8</v>
      </c>
      <c r="H14" s="13">
        <v>90</v>
      </c>
      <c r="I14" s="15"/>
      <c r="J14" s="13"/>
      <c r="K14" s="14"/>
    </row>
    <row r="15" spans="1:11" ht="15" customHeight="1" x14ac:dyDescent="0.3">
      <c r="A15" s="359" t="s">
        <v>74</v>
      </c>
      <c r="B15" s="370" t="s">
        <v>75</v>
      </c>
      <c r="C15" s="371"/>
      <c r="D15" s="379" t="s">
        <v>3</v>
      </c>
      <c r="E15" s="377" t="s">
        <v>41</v>
      </c>
      <c r="F15" s="336"/>
      <c r="G15" s="378"/>
      <c r="H15" s="378"/>
      <c r="I15" s="34"/>
      <c r="J15" s="2"/>
      <c r="K15" s="2"/>
    </row>
    <row r="16" spans="1:11" ht="14.4" x14ac:dyDescent="0.3">
      <c r="A16" s="354"/>
      <c r="B16" s="354"/>
      <c r="C16" s="354"/>
      <c r="D16" s="342"/>
      <c r="E16" s="337"/>
      <c r="F16" s="339"/>
      <c r="G16" s="342"/>
      <c r="H16" s="342"/>
      <c r="I16" s="34"/>
      <c r="J16" s="2"/>
      <c r="K16" s="2"/>
    </row>
    <row r="17" spans="1:11" ht="14.4" x14ac:dyDescent="0.3">
      <c r="A17" s="342"/>
      <c r="B17" s="342"/>
      <c r="C17" s="342"/>
      <c r="D17" s="19">
        <f>D3-9.6</f>
        <v>100.4</v>
      </c>
      <c r="E17" s="357">
        <f>D14-2.1</f>
        <v>56.85</v>
      </c>
      <c r="F17" s="330"/>
      <c r="G17" s="64">
        <f>D5*4</f>
        <v>4</v>
      </c>
      <c r="H17" s="65"/>
      <c r="I17" s="34"/>
      <c r="J17" s="2"/>
      <c r="K17" s="2"/>
    </row>
    <row r="18" spans="1:11" ht="14.4" x14ac:dyDescent="0.3">
      <c r="A18" s="66" t="s">
        <v>42</v>
      </c>
      <c r="B18" s="13">
        <v>5020</v>
      </c>
      <c r="C18" s="53"/>
      <c r="D18" s="346"/>
      <c r="E18" s="332"/>
      <c r="F18" s="330"/>
      <c r="G18" s="53">
        <f>(D17*8)+(E17*8)*D5</f>
        <v>1258</v>
      </c>
      <c r="H18" s="13" t="s">
        <v>43</v>
      </c>
      <c r="I18" s="34"/>
      <c r="J18" s="2"/>
      <c r="K18" s="2"/>
    </row>
    <row r="19" spans="1:11" ht="14.4" x14ac:dyDescent="0.3">
      <c r="A19" s="369" t="s">
        <v>44</v>
      </c>
      <c r="B19" s="13"/>
      <c r="C19" s="13" t="s">
        <v>76</v>
      </c>
      <c r="D19" s="333"/>
      <c r="E19" s="332"/>
      <c r="F19" s="330"/>
      <c r="G19" s="13">
        <f>D5*16</f>
        <v>16</v>
      </c>
      <c r="H19" s="13"/>
      <c r="I19" s="34"/>
      <c r="J19" s="2"/>
      <c r="K19" s="2"/>
    </row>
    <row r="20" spans="1:11" ht="14.4" x14ac:dyDescent="0.3">
      <c r="A20" s="342"/>
      <c r="B20" s="13"/>
      <c r="C20" s="13" t="s">
        <v>77</v>
      </c>
      <c r="D20" s="340"/>
      <c r="E20" s="332"/>
      <c r="F20" s="330"/>
      <c r="G20" s="24">
        <f>D5*10</f>
        <v>10</v>
      </c>
      <c r="H20" s="13"/>
      <c r="I20" s="34"/>
      <c r="J20" s="2"/>
      <c r="K20" s="2"/>
    </row>
    <row r="21" spans="1:11" ht="15.75" customHeight="1" x14ac:dyDescent="0.3">
      <c r="A21" s="67"/>
      <c r="B21" s="13"/>
      <c r="C21" s="13" t="s">
        <v>78</v>
      </c>
      <c r="D21" s="25"/>
      <c r="E21" s="25"/>
      <c r="F21" s="24"/>
      <c r="G21" s="28">
        <f>D5*4</f>
        <v>4</v>
      </c>
      <c r="H21" s="13"/>
      <c r="I21" s="34"/>
      <c r="J21" s="2"/>
      <c r="K21" s="2"/>
    </row>
    <row r="22" spans="1:11" ht="15.75" customHeight="1" x14ac:dyDescent="0.3">
      <c r="A22" s="67" t="s">
        <v>48</v>
      </c>
      <c r="B22" s="13"/>
      <c r="C22" s="68" t="s">
        <v>49</v>
      </c>
      <c r="D22" s="27"/>
      <c r="E22" s="23"/>
      <c r="F22" s="28"/>
      <c r="G22" s="24">
        <f>D5*4</f>
        <v>4</v>
      </c>
      <c r="H22" s="13"/>
      <c r="I22" s="34"/>
      <c r="J22" s="2"/>
      <c r="K22" s="2"/>
    </row>
    <row r="23" spans="1:11" ht="15.75" customHeight="1" x14ac:dyDescent="0.3">
      <c r="A23" s="66" t="s">
        <v>70</v>
      </c>
      <c r="B23" s="26" t="s">
        <v>79</v>
      </c>
      <c r="C23" s="26"/>
      <c r="D23" s="368"/>
      <c r="E23" s="338"/>
      <c r="F23" s="339"/>
      <c r="G23" s="68">
        <f>D5*10</f>
        <v>10</v>
      </c>
      <c r="H23" s="13"/>
      <c r="I23" s="34"/>
      <c r="J23" s="2"/>
      <c r="K23" s="2"/>
    </row>
    <row r="24" spans="1:11" ht="15.75" customHeight="1" x14ac:dyDescent="0.3">
      <c r="A24" s="69" t="s">
        <v>80</v>
      </c>
      <c r="B24" s="13" t="s">
        <v>51</v>
      </c>
      <c r="C24" s="13">
        <v>5020</v>
      </c>
      <c r="D24" s="333"/>
      <c r="E24" s="332"/>
      <c r="F24" s="330"/>
      <c r="G24" s="13">
        <f>D5*4</f>
        <v>4</v>
      </c>
      <c r="H24" s="13"/>
      <c r="I24" s="34"/>
      <c r="J24" s="2"/>
      <c r="K24" s="2"/>
    </row>
    <row r="25" spans="1:11" ht="15.75" customHeight="1" x14ac:dyDescent="0.3">
      <c r="A25" s="66" t="s">
        <v>53</v>
      </c>
      <c r="B25" s="13" t="s">
        <v>81</v>
      </c>
      <c r="C25" s="13">
        <v>5020</v>
      </c>
      <c r="D25" s="333"/>
      <c r="E25" s="332"/>
      <c r="F25" s="330"/>
      <c r="G25" s="13">
        <f>D5*6</f>
        <v>6</v>
      </c>
      <c r="H25" s="13"/>
      <c r="I25" s="34"/>
      <c r="J25" s="2"/>
      <c r="K25" s="2"/>
    </row>
    <row r="26" spans="1:11" ht="15.75" customHeight="1" x14ac:dyDescent="0.3">
      <c r="A26" s="66" t="s">
        <v>82</v>
      </c>
      <c r="B26" s="13" t="s">
        <v>55</v>
      </c>
      <c r="C26" s="13"/>
      <c r="D26" s="333"/>
      <c r="E26" s="332"/>
      <c r="F26" s="330"/>
      <c r="G26" s="13">
        <f>D5*2</f>
        <v>2</v>
      </c>
      <c r="H26" s="13"/>
      <c r="I26" s="34"/>
      <c r="J26" s="2"/>
      <c r="K26" s="2"/>
    </row>
    <row r="27" spans="1:11" ht="15.75" customHeight="1" x14ac:dyDescent="0.3">
      <c r="A27" s="331" t="s">
        <v>56</v>
      </c>
      <c r="B27" s="330"/>
      <c r="C27" s="331"/>
      <c r="D27" s="332"/>
      <c r="E27" s="332"/>
      <c r="F27" s="332"/>
      <c r="G27" s="332"/>
      <c r="H27" s="330"/>
      <c r="I27" s="34"/>
      <c r="J27" s="2"/>
      <c r="K27" s="2"/>
    </row>
    <row r="28" spans="1:11" ht="15.75" customHeight="1" x14ac:dyDescent="0.3">
      <c r="A28" s="331" t="s">
        <v>57</v>
      </c>
      <c r="B28" s="330"/>
      <c r="C28" s="331"/>
      <c r="D28" s="332"/>
      <c r="E28" s="332"/>
      <c r="F28" s="332"/>
      <c r="G28" s="332"/>
      <c r="H28" s="330"/>
      <c r="I28" s="34"/>
      <c r="J28" s="2"/>
      <c r="K28" s="2"/>
    </row>
    <row r="29" spans="1:11" ht="15.75" customHeight="1" x14ac:dyDescent="0.3">
      <c r="A29" s="334" t="s">
        <v>58</v>
      </c>
      <c r="B29" s="335"/>
      <c r="C29" s="335"/>
      <c r="D29" s="335"/>
      <c r="E29" s="336"/>
      <c r="F29" s="331"/>
      <c r="G29" s="332"/>
      <c r="H29" s="330"/>
      <c r="I29" s="34"/>
      <c r="J29" s="2"/>
      <c r="K29" s="2"/>
    </row>
    <row r="30" spans="1:11" ht="15.75" customHeight="1" x14ac:dyDescent="0.3">
      <c r="A30" s="337"/>
      <c r="B30" s="338"/>
      <c r="C30" s="338"/>
      <c r="D30" s="338"/>
      <c r="E30" s="339"/>
      <c r="F30" s="331" t="s">
        <v>59</v>
      </c>
      <c r="G30" s="332"/>
      <c r="H30" s="330"/>
      <c r="I30" s="34"/>
      <c r="J30" s="2"/>
      <c r="K30" s="2"/>
    </row>
    <row r="31" spans="1:11" ht="15.75" customHeight="1" x14ac:dyDescent="0.4">
      <c r="A31" s="70"/>
      <c r="B31" s="372"/>
      <c r="C31" s="327"/>
      <c r="D31" s="327"/>
      <c r="E31" s="32"/>
      <c r="F31" s="32"/>
      <c r="G31" s="32"/>
      <c r="H31" s="32"/>
      <c r="I31" s="34"/>
      <c r="J31" s="2"/>
      <c r="K31" s="2"/>
    </row>
    <row r="32" spans="1:11" ht="15.75" customHeight="1" x14ac:dyDescent="0.4">
      <c r="A32" s="70"/>
      <c r="B32" s="32"/>
      <c r="C32" s="32"/>
      <c r="D32" s="32"/>
      <c r="E32" s="32"/>
      <c r="F32" s="32"/>
      <c r="G32" s="32"/>
      <c r="H32" s="32"/>
      <c r="I32" s="34"/>
      <c r="J32" s="2"/>
      <c r="K32" s="2"/>
    </row>
    <row r="33" spans="1:11" ht="15.75" customHeight="1" x14ac:dyDescent="0.4">
      <c r="A33" s="70"/>
      <c r="B33" s="32"/>
      <c r="C33" s="32"/>
      <c r="D33" s="32"/>
      <c r="E33" s="32"/>
      <c r="F33" s="32"/>
      <c r="G33" s="32"/>
      <c r="H33" s="32"/>
      <c r="I33" s="34"/>
      <c r="J33" s="2"/>
      <c r="K33" s="2"/>
    </row>
    <row r="34" spans="1:11" ht="15.75" customHeight="1" x14ac:dyDescent="0.4">
      <c r="A34" s="70"/>
      <c r="B34" s="32"/>
      <c r="C34" s="32"/>
      <c r="D34" s="32"/>
      <c r="E34" s="32"/>
      <c r="F34" s="32"/>
      <c r="G34" s="328">
        <f>D3</f>
        <v>110</v>
      </c>
      <c r="H34" s="327"/>
      <c r="I34" s="34"/>
      <c r="J34" s="2"/>
      <c r="K34" s="2"/>
    </row>
    <row r="35" spans="1:11" ht="15.75" customHeight="1" x14ac:dyDescent="0.4">
      <c r="A35" s="70"/>
      <c r="B35" s="32"/>
      <c r="C35" s="32"/>
      <c r="D35" s="32"/>
      <c r="E35" s="33"/>
      <c r="F35" s="32"/>
      <c r="G35" s="32"/>
      <c r="H35" s="32"/>
      <c r="I35" s="34"/>
      <c r="J35" s="2"/>
      <c r="K35" s="2"/>
    </row>
    <row r="36" spans="1:11" ht="15.75" customHeight="1" x14ac:dyDescent="0.4">
      <c r="A36" s="70"/>
      <c r="B36" s="32"/>
      <c r="C36" s="32"/>
      <c r="D36" s="32"/>
      <c r="E36" s="32"/>
      <c r="F36" s="32"/>
      <c r="G36" s="32"/>
      <c r="H36" s="32"/>
      <c r="I36" s="34"/>
      <c r="J36" s="2"/>
      <c r="K36" s="2"/>
    </row>
    <row r="37" spans="1:11" ht="15.75" customHeight="1" x14ac:dyDescent="0.4">
      <c r="A37" s="70"/>
      <c r="B37" s="32"/>
      <c r="C37" s="32"/>
      <c r="D37" s="32"/>
      <c r="E37" s="32"/>
      <c r="F37" s="32"/>
      <c r="G37" s="32"/>
      <c r="H37" s="32"/>
      <c r="I37" s="34"/>
      <c r="J37" s="2"/>
      <c r="K37" s="2"/>
    </row>
    <row r="38" spans="1:11" ht="15.75" customHeight="1" x14ac:dyDescent="0.4">
      <c r="A38" s="70"/>
      <c r="B38" s="32"/>
      <c r="C38" s="32"/>
      <c r="D38" s="32"/>
      <c r="E38" s="32"/>
      <c r="F38" s="32"/>
      <c r="G38" s="32"/>
      <c r="H38" s="32"/>
      <c r="I38" s="34"/>
      <c r="J38" s="2"/>
      <c r="K38" s="2"/>
    </row>
    <row r="39" spans="1:11" ht="15.75" customHeight="1" x14ac:dyDescent="0.4">
      <c r="A39" s="70"/>
      <c r="B39" s="328">
        <f>D4</f>
        <v>238</v>
      </c>
      <c r="C39" s="327"/>
      <c r="D39" s="327"/>
      <c r="E39" s="327"/>
      <c r="F39" s="327"/>
      <c r="G39" s="56"/>
      <c r="H39" s="32"/>
      <c r="I39" s="34"/>
      <c r="J39" s="2"/>
      <c r="K39" s="2"/>
    </row>
    <row r="40" spans="1:11" ht="15.75" customHeight="1" x14ac:dyDescent="0.4">
      <c r="A40" s="70"/>
      <c r="B40" s="372"/>
      <c r="C40" s="327"/>
      <c r="D40" s="327"/>
      <c r="E40" s="32"/>
      <c r="F40" s="32"/>
      <c r="G40" s="32"/>
      <c r="H40" s="32"/>
      <c r="I40" s="34"/>
      <c r="J40" s="2"/>
      <c r="K40" s="2"/>
    </row>
    <row r="41" spans="1:11" ht="15.75" customHeight="1" x14ac:dyDescent="0.4">
      <c r="A41" s="70"/>
      <c r="B41" s="32"/>
      <c r="C41" s="32"/>
      <c r="D41" s="32"/>
      <c r="E41" s="32"/>
      <c r="F41" s="32"/>
      <c r="G41" s="32"/>
      <c r="H41" s="32"/>
      <c r="I41" s="34"/>
      <c r="J41" s="2"/>
      <c r="K41" s="2"/>
    </row>
    <row r="42" spans="1:11" ht="15.75" customHeight="1" x14ac:dyDescent="0.4">
      <c r="A42" s="70"/>
      <c r="B42" s="32"/>
      <c r="C42" s="32"/>
      <c r="D42" s="32"/>
      <c r="E42" s="32"/>
      <c r="F42" s="32"/>
      <c r="G42" s="32"/>
      <c r="H42" s="32"/>
      <c r="I42" s="34"/>
      <c r="J42" s="2"/>
      <c r="K42" s="2"/>
    </row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50">
    <mergeCell ref="E3:H3"/>
    <mergeCell ref="D8:F8"/>
    <mergeCell ref="D19:F19"/>
    <mergeCell ref="E15:F16"/>
    <mergeCell ref="H15:H16"/>
    <mergeCell ref="G15:G16"/>
    <mergeCell ref="D18:F18"/>
    <mergeCell ref="D15:D16"/>
    <mergeCell ref="E17:F17"/>
    <mergeCell ref="D10:F10"/>
    <mergeCell ref="D11:F11"/>
    <mergeCell ref="D14:F14"/>
    <mergeCell ref="I7:K7"/>
    <mergeCell ref="A5:C5"/>
    <mergeCell ref="A2:H2"/>
    <mergeCell ref="A1:H1"/>
    <mergeCell ref="D12:F12"/>
    <mergeCell ref="D9:F9"/>
    <mergeCell ref="E4:H4"/>
    <mergeCell ref="A4:C4"/>
    <mergeCell ref="A3:C3"/>
    <mergeCell ref="E5:H5"/>
    <mergeCell ref="C6:H6"/>
    <mergeCell ref="C7:H7"/>
    <mergeCell ref="A7:B7"/>
    <mergeCell ref="A8:B8"/>
    <mergeCell ref="A9:A11"/>
    <mergeCell ref="A12:A14"/>
    <mergeCell ref="B40:D40"/>
    <mergeCell ref="B39:F39"/>
    <mergeCell ref="F30:H30"/>
    <mergeCell ref="A29:E30"/>
    <mergeCell ref="F29:H29"/>
    <mergeCell ref="B31:D31"/>
    <mergeCell ref="A6:B6"/>
    <mergeCell ref="A15:A17"/>
    <mergeCell ref="A19:A20"/>
    <mergeCell ref="B15:B17"/>
    <mergeCell ref="G34:H34"/>
    <mergeCell ref="C27:H27"/>
    <mergeCell ref="C28:H28"/>
    <mergeCell ref="A27:B27"/>
    <mergeCell ref="A28:B28"/>
    <mergeCell ref="C15:C17"/>
    <mergeCell ref="D23:F23"/>
    <mergeCell ref="D13:F13"/>
    <mergeCell ref="D20:F20"/>
    <mergeCell ref="D25:F25"/>
    <mergeCell ref="D24:F24"/>
    <mergeCell ref="D26:F26"/>
  </mergeCells>
  <pageMargins left="0.7" right="0.7" top="0.75" bottom="0.75" header="0" footer="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0"/>
  <sheetViews>
    <sheetView topLeftCell="A7" zoomScale="98" zoomScaleNormal="98" workbookViewId="0">
      <selection activeCell="H48" sqref="H48"/>
    </sheetView>
  </sheetViews>
  <sheetFormatPr baseColWidth="10" defaultColWidth="14.44140625" defaultRowHeight="15" customHeight="1" x14ac:dyDescent="0.3"/>
  <cols>
    <col min="1" max="1" width="14.44140625" style="288"/>
    <col min="2" max="2" width="14.6640625" customWidth="1"/>
    <col min="3" max="3" width="40" customWidth="1"/>
    <col min="4" max="4" width="12.6640625" customWidth="1"/>
    <col min="5" max="5" width="14" customWidth="1"/>
    <col min="6" max="6" width="8.5546875" customWidth="1"/>
    <col min="7" max="7" width="4.44140625" customWidth="1"/>
    <col min="8" max="8" width="8.5546875" customWidth="1"/>
    <col min="9" max="9" width="8.5546875" style="259" customWidth="1"/>
    <col min="10" max="10" width="16" style="292" customWidth="1"/>
    <col min="11" max="11" width="21.5546875" style="292" customWidth="1"/>
    <col min="12" max="12" width="14.109375" style="292" customWidth="1"/>
    <col min="13" max="23" width="14.44140625" style="292"/>
  </cols>
  <sheetData>
    <row r="1" spans="2:23" s="259" customFormat="1" ht="23.4" thickBot="1" x14ac:dyDescent="0.45">
      <c r="B1" s="440"/>
      <c r="C1" s="440"/>
      <c r="D1" s="440"/>
      <c r="E1" s="440"/>
      <c r="F1" s="440"/>
      <c r="G1" s="440"/>
      <c r="H1" s="440"/>
      <c r="I1" s="440"/>
      <c r="J1" s="293"/>
      <c r="K1" s="294"/>
      <c r="L1" s="294"/>
      <c r="M1" s="292"/>
      <c r="N1" s="292"/>
      <c r="O1" s="292"/>
      <c r="P1" s="292"/>
      <c r="Q1" s="292"/>
      <c r="R1" s="292"/>
      <c r="S1" s="292"/>
      <c r="T1" s="292"/>
      <c r="U1" s="292"/>
      <c r="V1" s="292"/>
      <c r="W1" s="292"/>
    </row>
    <row r="2" spans="2:23" s="259" customFormat="1" ht="21.6" thickBot="1" x14ac:dyDescent="0.45">
      <c r="B2" s="441" t="s">
        <v>83</v>
      </c>
      <c r="C2" s="442"/>
      <c r="D2" s="442"/>
      <c r="E2" s="442"/>
      <c r="F2" s="442"/>
      <c r="G2" s="442"/>
      <c r="H2" s="442"/>
      <c r="I2" s="443"/>
      <c r="J2" s="260"/>
      <c r="K2" s="294"/>
      <c r="L2" s="292"/>
      <c r="M2" s="292"/>
      <c r="N2" s="292"/>
      <c r="O2" s="292"/>
      <c r="P2" s="292"/>
      <c r="Q2" s="292"/>
      <c r="R2" s="292"/>
      <c r="S2" s="292"/>
      <c r="T2" s="292"/>
      <c r="U2" s="292"/>
      <c r="V2" s="292"/>
      <c r="W2" s="292"/>
    </row>
    <row r="3" spans="2:23" ht="21" x14ac:dyDescent="0.4">
      <c r="B3" s="447" t="s">
        <v>3</v>
      </c>
      <c r="C3" s="448"/>
      <c r="D3" s="449"/>
      <c r="E3" s="450">
        <v>85.2</v>
      </c>
      <c r="F3" s="451"/>
      <c r="G3" s="435" t="s">
        <v>4</v>
      </c>
      <c r="H3" s="436"/>
      <c r="I3" s="437"/>
      <c r="J3" s="295"/>
      <c r="K3" s="294"/>
      <c r="L3" s="294"/>
    </row>
    <row r="4" spans="2:23" ht="20.25" customHeight="1" x14ac:dyDescent="0.4">
      <c r="B4" s="444" t="s">
        <v>6</v>
      </c>
      <c r="C4" s="445"/>
      <c r="D4" s="446"/>
      <c r="E4" s="438">
        <v>100.7</v>
      </c>
      <c r="F4" s="439"/>
      <c r="G4" s="432" t="s">
        <v>4</v>
      </c>
      <c r="H4" s="433"/>
      <c r="I4" s="434"/>
      <c r="J4" s="295"/>
      <c r="K4" s="294"/>
      <c r="L4" s="294"/>
    </row>
    <row r="5" spans="2:23" ht="20.25" customHeight="1" x14ac:dyDescent="0.4">
      <c r="B5" s="427" t="s">
        <v>7</v>
      </c>
      <c r="C5" s="428"/>
      <c r="D5" s="429"/>
      <c r="E5" s="430">
        <v>1</v>
      </c>
      <c r="F5" s="431"/>
      <c r="G5" s="345"/>
      <c r="H5" s="415"/>
      <c r="I5" s="416"/>
      <c r="K5" s="294"/>
      <c r="L5" s="294"/>
    </row>
    <row r="6" spans="2:23" ht="42.6" customHeight="1" x14ac:dyDescent="0.35">
      <c r="B6" s="422" t="s">
        <v>72</v>
      </c>
      <c r="C6" s="423"/>
      <c r="D6" s="424"/>
      <c r="E6" s="425"/>
      <c r="F6" s="425"/>
      <c r="G6" s="425"/>
      <c r="H6" s="425"/>
      <c r="I6" s="426"/>
      <c r="K6" s="294"/>
      <c r="L6" s="294"/>
    </row>
    <row r="7" spans="2:23" ht="21" x14ac:dyDescent="0.4">
      <c r="B7" s="418" t="s">
        <v>9</v>
      </c>
      <c r="C7" s="419"/>
      <c r="D7" s="345"/>
      <c r="E7" s="415"/>
      <c r="F7" s="415"/>
      <c r="G7" s="415"/>
      <c r="H7" s="415"/>
      <c r="I7" s="417"/>
      <c r="J7" s="420"/>
      <c r="K7" s="421"/>
      <c r="L7" s="421"/>
    </row>
    <row r="8" spans="2:23" ht="24" customHeight="1" x14ac:dyDescent="0.4">
      <c r="B8" s="373" t="s">
        <v>61</v>
      </c>
      <c r="C8" s="405"/>
      <c r="D8" s="73" t="s">
        <v>11</v>
      </c>
      <c r="E8" s="409" t="s">
        <v>12</v>
      </c>
      <c r="F8" s="410"/>
      <c r="G8" s="411"/>
      <c r="H8" s="299" t="s">
        <v>13</v>
      </c>
      <c r="I8" s="301" t="s">
        <v>84</v>
      </c>
      <c r="J8" s="296"/>
      <c r="K8" s="296"/>
      <c r="L8" s="296"/>
    </row>
    <row r="9" spans="2:23" ht="14.4" customHeight="1" x14ac:dyDescent="0.3">
      <c r="B9" s="402" t="s">
        <v>19</v>
      </c>
      <c r="C9" s="304" t="s">
        <v>20</v>
      </c>
      <c r="D9" s="304" t="s">
        <v>85</v>
      </c>
      <c r="E9" s="346">
        <f>E4</f>
        <v>100.7</v>
      </c>
      <c r="F9" s="389"/>
      <c r="G9" s="390"/>
      <c r="H9" s="290">
        <f>E5*1</f>
        <v>1</v>
      </c>
      <c r="I9" s="302">
        <v>90</v>
      </c>
      <c r="J9" s="291"/>
      <c r="K9" s="291"/>
      <c r="L9" s="264"/>
    </row>
    <row r="10" spans="2:23" ht="14.4" x14ac:dyDescent="0.3">
      <c r="B10" s="403"/>
      <c r="C10" s="304" t="s">
        <v>23</v>
      </c>
      <c r="D10" s="304" t="s">
        <v>86</v>
      </c>
      <c r="E10" s="346">
        <f>E4</f>
        <v>100.7</v>
      </c>
      <c r="F10" s="389"/>
      <c r="G10" s="390"/>
      <c r="H10" s="289">
        <f>E5*1</f>
        <v>1</v>
      </c>
      <c r="I10" s="302">
        <v>90</v>
      </c>
      <c r="J10" s="291"/>
      <c r="K10" s="291"/>
      <c r="L10" s="264"/>
    </row>
    <row r="11" spans="2:23" ht="14.4" x14ac:dyDescent="0.3">
      <c r="B11" s="404"/>
      <c r="C11" s="304" t="s">
        <v>26</v>
      </c>
      <c r="D11" s="304" t="s">
        <v>87</v>
      </c>
      <c r="E11" s="346">
        <f>E3-1.1</f>
        <v>84.100000000000009</v>
      </c>
      <c r="F11" s="389"/>
      <c r="G11" s="390"/>
      <c r="H11" s="289">
        <f>E5*2</f>
        <v>2</v>
      </c>
      <c r="I11" s="302">
        <v>90</v>
      </c>
      <c r="J11" s="291"/>
      <c r="K11" s="291"/>
      <c r="L11" s="264"/>
    </row>
    <row r="12" spans="2:23" ht="14.4" customHeight="1" x14ac:dyDescent="0.3">
      <c r="B12" s="461" t="s">
        <v>88</v>
      </c>
      <c r="C12" s="306" t="s">
        <v>89</v>
      </c>
      <c r="D12" s="306" t="s">
        <v>90</v>
      </c>
      <c r="E12" s="346">
        <f>E3-2.5</f>
        <v>82.7</v>
      </c>
      <c r="F12" s="389"/>
      <c r="G12" s="390"/>
      <c r="H12" s="289">
        <f>E5*2</f>
        <v>2</v>
      </c>
      <c r="I12" s="302">
        <v>90</v>
      </c>
      <c r="J12" s="291"/>
      <c r="K12" s="291"/>
      <c r="L12" s="264"/>
    </row>
    <row r="13" spans="2:23" ht="14.4" x14ac:dyDescent="0.3">
      <c r="B13" s="462"/>
      <c r="C13" s="306" t="s">
        <v>91</v>
      </c>
      <c r="D13" s="306" t="s">
        <v>92</v>
      </c>
      <c r="E13" s="346">
        <f>E3-2.5</f>
        <v>82.7</v>
      </c>
      <c r="F13" s="389"/>
      <c r="G13" s="390"/>
      <c r="H13" s="289">
        <f>E5*2</f>
        <v>2</v>
      </c>
      <c r="I13" s="302">
        <v>90</v>
      </c>
      <c r="J13" s="291"/>
      <c r="K13" s="291"/>
      <c r="L13" s="264"/>
    </row>
    <row r="14" spans="2:23" ht="14.4" x14ac:dyDescent="0.3">
      <c r="B14" s="462"/>
      <c r="C14" s="305" t="s">
        <v>93</v>
      </c>
      <c r="D14" s="305" t="s">
        <v>94</v>
      </c>
      <c r="E14" s="346">
        <f>(E4-0.6)/2</f>
        <v>50.050000000000004</v>
      </c>
      <c r="F14" s="389"/>
      <c r="G14" s="390"/>
      <c r="H14" s="289">
        <f>E5*2</f>
        <v>2</v>
      </c>
      <c r="I14" s="302">
        <v>90</v>
      </c>
      <c r="J14" s="291"/>
      <c r="K14" s="291"/>
      <c r="L14" s="264"/>
    </row>
    <row r="15" spans="2:23" ht="14.4" x14ac:dyDescent="0.25">
      <c r="B15" s="463"/>
      <c r="C15" s="305" t="s">
        <v>95</v>
      </c>
      <c r="D15" s="305" t="s">
        <v>96</v>
      </c>
      <c r="E15" s="346">
        <f>(E4-0.6)/2</f>
        <v>50.050000000000004</v>
      </c>
      <c r="F15" s="389"/>
      <c r="G15" s="390"/>
      <c r="H15" s="289">
        <f>E5*2</f>
        <v>2</v>
      </c>
      <c r="I15" s="302">
        <v>90</v>
      </c>
      <c r="J15" s="291"/>
      <c r="K15" s="291"/>
      <c r="L15" s="297"/>
    </row>
    <row r="16" spans="2:23" ht="14.4" customHeight="1" x14ac:dyDescent="0.25">
      <c r="B16" s="406" t="s">
        <v>39</v>
      </c>
      <c r="C16" s="464" t="s">
        <v>97</v>
      </c>
      <c r="D16" s="412"/>
      <c r="E16" s="391" t="s">
        <v>3</v>
      </c>
      <c r="F16" s="398" t="s">
        <v>41</v>
      </c>
      <c r="G16" s="399"/>
      <c r="H16" s="396"/>
      <c r="I16" s="395"/>
      <c r="J16" s="291"/>
      <c r="K16" s="291"/>
      <c r="L16" s="294"/>
    </row>
    <row r="17" spans="2:12" ht="14.4" x14ac:dyDescent="0.25">
      <c r="B17" s="407"/>
      <c r="C17" s="465"/>
      <c r="D17" s="413"/>
      <c r="E17" s="392"/>
      <c r="F17" s="400"/>
      <c r="G17" s="401"/>
      <c r="H17" s="397"/>
      <c r="I17" s="395"/>
      <c r="J17" s="393"/>
      <c r="K17" s="294"/>
      <c r="L17" s="294"/>
    </row>
    <row r="18" spans="2:12" ht="14.4" x14ac:dyDescent="0.25">
      <c r="B18" s="408"/>
      <c r="C18" s="466"/>
      <c r="D18" s="414"/>
      <c r="E18" s="19">
        <f>E3-9</f>
        <v>76.2</v>
      </c>
      <c r="F18" s="357">
        <f>E14-5.8</f>
        <v>44.250000000000007</v>
      </c>
      <c r="G18" s="388"/>
      <c r="H18" s="300">
        <f>E5*2</f>
        <v>2</v>
      </c>
      <c r="I18" s="395"/>
      <c r="J18" s="394"/>
      <c r="K18" s="294"/>
      <c r="L18" s="294"/>
    </row>
    <row r="19" spans="2:12" ht="14.4" x14ac:dyDescent="0.3">
      <c r="B19" s="307" t="s">
        <v>42</v>
      </c>
      <c r="C19" s="13">
        <v>744</v>
      </c>
      <c r="D19" s="13"/>
      <c r="E19" s="346"/>
      <c r="F19" s="389"/>
      <c r="G19" s="390"/>
      <c r="H19" s="289">
        <f>(E18*4)+(F18*4)*E5</f>
        <v>481.80000000000007</v>
      </c>
      <c r="I19" s="303" t="s">
        <v>43</v>
      </c>
      <c r="J19" s="298"/>
      <c r="K19" s="294"/>
      <c r="L19" s="294"/>
    </row>
    <row r="20" spans="2:12" ht="14.4" customHeight="1" x14ac:dyDescent="0.25">
      <c r="B20" s="452" t="s">
        <v>44</v>
      </c>
      <c r="C20" s="13" t="s">
        <v>98</v>
      </c>
      <c r="D20" s="13"/>
      <c r="E20" s="333"/>
      <c r="F20" s="386"/>
      <c r="G20" s="387"/>
      <c r="H20" s="289">
        <f>E5*12</f>
        <v>12</v>
      </c>
      <c r="I20" s="302"/>
      <c r="J20" s="393"/>
      <c r="K20" s="294"/>
      <c r="L20" s="294"/>
    </row>
    <row r="21" spans="2:12" ht="15.75" customHeight="1" x14ac:dyDescent="0.25">
      <c r="B21" s="453"/>
      <c r="C21" s="13" t="s">
        <v>99</v>
      </c>
      <c r="D21" s="13"/>
      <c r="E21" s="333"/>
      <c r="F21" s="386"/>
      <c r="G21" s="387"/>
      <c r="H21" s="289">
        <f>E5*10</f>
        <v>10</v>
      </c>
      <c r="I21" s="302"/>
      <c r="J21" s="394"/>
      <c r="K21" s="294"/>
      <c r="L21" s="294"/>
    </row>
    <row r="22" spans="2:12" ht="15.75" customHeight="1" x14ac:dyDescent="0.25">
      <c r="B22" s="454"/>
      <c r="C22" s="13" t="s">
        <v>100</v>
      </c>
      <c r="D22" s="13"/>
      <c r="E22" s="333"/>
      <c r="F22" s="386"/>
      <c r="G22" s="387"/>
      <c r="H22" s="289">
        <f>E5*6</f>
        <v>6</v>
      </c>
      <c r="I22" s="302"/>
      <c r="J22" s="394"/>
      <c r="K22" s="294"/>
      <c r="L22" s="294"/>
    </row>
    <row r="23" spans="2:12" ht="15.75" customHeight="1" x14ac:dyDescent="0.25">
      <c r="B23" s="79" t="s">
        <v>70</v>
      </c>
      <c r="C23" s="13" t="s">
        <v>101</v>
      </c>
      <c r="D23" s="13"/>
      <c r="E23" s="333"/>
      <c r="F23" s="386"/>
      <c r="G23" s="387"/>
      <c r="H23" s="289">
        <f>E5*10</f>
        <v>10</v>
      </c>
      <c r="I23" s="302"/>
      <c r="J23" s="298"/>
      <c r="K23" s="294"/>
      <c r="L23" s="294"/>
    </row>
    <row r="24" spans="2:12" ht="15.75" customHeight="1" x14ac:dyDescent="0.25">
      <c r="B24" s="308" t="s">
        <v>50</v>
      </c>
      <c r="C24" s="13" t="s">
        <v>102</v>
      </c>
      <c r="D24" s="13"/>
      <c r="E24" s="333"/>
      <c r="F24" s="386"/>
      <c r="G24" s="387"/>
      <c r="H24" s="289">
        <f>E5*2</f>
        <v>2</v>
      </c>
      <c r="I24" s="302"/>
      <c r="J24" s="298"/>
      <c r="K24" s="294"/>
      <c r="L24" s="294"/>
    </row>
    <row r="25" spans="2:12" ht="15.75" customHeight="1" x14ac:dyDescent="0.25">
      <c r="B25" s="455" t="s">
        <v>53</v>
      </c>
      <c r="C25" s="13" t="s">
        <v>103</v>
      </c>
      <c r="D25" s="13"/>
      <c r="E25" s="333"/>
      <c r="F25" s="386"/>
      <c r="G25" s="387"/>
      <c r="H25" s="289">
        <f>E5*2</f>
        <v>2</v>
      </c>
      <c r="I25" s="302"/>
      <c r="J25" s="393"/>
      <c r="K25" s="294"/>
      <c r="L25" s="294"/>
    </row>
    <row r="26" spans="2:12" ht="15.75" customHeight="1" x14ac:dyDescent="0.25">
      <c r="B26" s="456"/>
      <c r="C26" s="13" t="s">
        <v>104</v>
      </c>
      <c r="D26" s="13"/>
      <c r="E26" s="333"/>
      <c r="F26" s="386"/>
      <c r="G26" s="387"/>
      <c r="H26" s="289">
        <f>E5*3</f>
        <v>3</v>
      </c>
      <c r="I26" s="302"/>
      <c r="J26" s="394"/>
      <c r="K26" s="294"/>
      <c r="L26" s="294"/>
    </row>
    <row r="27" spans="2:12" ht="15.75" customHeight="1" x14ac:dyDescent="0.25">
      <c r="B27" s="309" t="s">
        <v>54</v>
      </c>
      <c r="C27" s="13" t="s">
        <v>105</v>
      </c>
      <c r="D27" s="13"/>
      <c r="E27" s="333"/>
      <c r="F27" s="386"/>
      <c r="G27" s="387"/>
      <c r="H27" s="289">
        <f>E5*1</f>
        <v>1</v>
      </c>
      <c r="I27" s="302"/>
      <c r="J27" s="298"/>
      <c r="K27" s="294"/>
      <c r="L27" s="294"/>
    </row>
    <row r="28" spans="2:12" ht="15.75" customHeight="1" x14ac:dyDescent="0.3">
      <c r="B28" s="457" t="s">
        <v>56</v>
      </c>
      <c r="C28" s="458"/>
      <c r="D28" s="331"/>
      <c r="E28" s="467"/>
      <c r="F28" s="467"/>
      <c r="G28" s="467"/>
      <c r="H28" s="467"/>
      <c r="I28" s="480"/>
      <c r="J28" s="298"/>
      <c r="K28" s="294"/>
      <c r="L28" s="294"/>
    </row>
    <row r="29" spans="2:12" ht="15.75" customHeight="1" x14ac:dyDescent="0.3">
      <c r="B29" s="459" t="s">
        <v>57</v>
      </c>
      <c r="C29" s="460"/>
      <c r="D29" s="331"/>
      <c r="E29" s="467"/>
      <c r="F29" s="467"/>
      <c r="G29" s="467"/>
      <c r="H29" s="467"/>
      <c r="I29" s="468"/>
      <c r="J29" s="298"/>
      <c r="K29" s="294"/>
      <c r="L29" s="294"/>
    </row>
    <row r="30" spans="2:12" ht="15.75" customHeight="1" x14ac:dyDescent="0.3">
      <c r="B30" s="474" t="s">
        <v>58</v>
      </c>
      <c r="C30" s="475"/>
      <c r="D30" s="475"/>
      <c r="E30" s="475"/>
      <c r="F30" s="476"/>
      <c r="G30" s="331"/>
      <c r="H30" s="467"/>
      <c r="I30" s="468"/>
      <c r="J30" s="298"/>
      <c r="K30" s="294"/>
      <c r="L30" s="294"/>
    </row>
    <row r="31" spans="2:12" ht="15.75" customHeight="1" thickBot="1" x14ac:dyDescent="0.35">
      <c r="B31" s="477"/>
      <c r="C31" s="478"/>
      <c r="D31" s="478"/>
      <c r="E31" s="478"/>
      <c r="F31" s="479"/>
      <c r="G31" s="469" t="s">
        <v>59</v>
      </c>
      <c r="H31" s="470"/>
      <c r="I31" s="471"/>
      <c r="J31" s="294"/>
      <c r="K31" s="294"/>
      <c r="L31" s="294"/>
    </row>
    <row r="32" spans="2:12" ht="15.75" customHeight="1" x14ac:dyDescent="0.35">
      <c r="B32" s="310"/>
      <c r="C32" s="311"/>
      <c r="D32" s="311"/>
      <c r="E32" s="311"/>
      <c r="F32" s="311"/>
      <c r="G32" s="311"/>
      <c r="H32" s="311"/>
      <c r="I32" s="312"/>
      <c r="J32" s="294"/>
      <c r="K32" s="294"/>
      <c r="L32" s="294"/>
    </row>
    <row r="33" spans="2:23" ht="15.75" customHeight="1" x14ac:dyDescent="0.35">
      <c r="B33" s="313"/>
      <c r="C33" s="294"/>
      <c r="D33" s="314"/>
      <c r="E33" s="294"/>
      <c r="F33" s="294"/>
      <c r="G33" s="294"/>
      <c r="H33" s="294"/>
      <c r="I33" s="315"/>
      <c r="J33" s="294"/>
      <c r="K33" s="294"/>
      <c r="L33" s="294"/>
    </row>
    <row r="34" spans="2:23" ht="15.75" customHeight="1" x14ac:dyDescent="0.35">
      <c r="B34" s="313"/>
      <c r="C34" s="294"/>
      <c r="D34" s="294"/>
      <c r="E34" s="294"/>
      <c r="F34" s="294"/>
      <c r="G34" s="294"/>
      <c r="H34" s="316"/>
      <c r="I34" s="315"/>
      <c r="J34" s="294"/>
      <c r="K34" s="294"/>
      <c r="L34" s="294"/>
    </row>
    <row r="35" spans="2:23" ht="15.75" customHeight="1" x14ac:dyDescent="0.35">
      <c r="B35" s="313"/>
      <c r="C35" s="294"/>
      <c r="D35" s="294"/>
      <c r="E35" s="294"/>
      <c r="F35" s="294"/>
      <c r="G35" s="294"/>
      <c r="H35" s="317"/>
      <c r="I35" s="315"/>
      <c r="J35" s="294"/>
      <c r="K35" s="294"/>
      <c r="L35" s="294"/>
    </row>
    <row r="36" spans="2:23" ht="15.75" customHeight="1" x14ac:dyDescent="0.35">
      <c r="B36" s="313"/>
      <c r="C36" s="294"/>
      <c r="D36" s="294"/>
      <c r="E36" s="294"/>
      <c r="F36" s="472"/>
      <c r="G36" s="394"/>
      <c r="H36" s="394"/>
      <c r="I36" s="315"/>
      <c r="J36" s="294"/>
      <c r="K36" s="294"/>
      <c r="L36" s="294"/>
    </row>
    <row r="37" spans="2:23" ht="15.75" customHeight="1" x14ac:dyDescent="0.35">
      <c r="B37" s="313"/>
      <c r="C37" s="294"/>
      <c r="D37" s="294"/>
      <c r="E37" s="294"/>
      <c r="F37" s="294"/>
      <c r="G37" s="294"/>
      <c r="H37" s="317"/>
      <c r="I37" s="315"/>
      <c r="J37" s="294"/>
      <c r="K37" s="294"/>
      <c r="L37" s="294"/>
    </row>
    <row r="38" spans="2:23" ht="15.75" customHeight="1" x14ac:dyDescent="0.35">
      <c r="B38" s="313"/>
      <c r="C38" s="294"/>
      <c r="D38" s="294"/>
      <c r="E38" s="294"/>
      <c r="F38" s="294"/>
      <c r="G38" s="294"/>
      <c r="H38" s="317"/>
      <c r="I38" s="315"/>
      <c r="J38" s="294"/>
      <c r="K38" s="294"/>
      <c r="L38" s="294"/>
    </row>
    <row r="39" spans="2:23" ht="15.75" customHeight="1" x14ac:dyDescent="0.35">
      <c r="B39" s="313"/>
      <c r="C39" s="294"/>
      <c r="D39" s="294"/>
      <c r="E39" s="321">
        <f>E3</f>
        <v>85.2</v>
      </c>
      <c r="F39" s="325" t="s">
        <v>526</v>
      </c>
      <c r="G39" s="325"/>
      <c r="H39" s="317"/>
      <c r="I39" s="315"/>
      <c r="J39" s="294"/>
      <c r="K39" s="294"/>
      <c r="L39" s="294"/>
    </row>
    <row r="40" spans="2:23" ht="15.75" customHeight="1" x14ac:dyDescent="0.35">
      <c r="B40" s="313"/>
      <c r="C40" s="294"/>
      <c r="D40" s="294"/>
      <c r="E40" s="294"/>
      <c r="F40" s="294"/>
      <c r="G40" s="294"/>
      <c r="H40" s="317"/>
      <c r="I40" s="315"/>
      <c r="J40" s="294"/>
      <c r="K40" s="294"/>
      <c r="L40" s="294"/>
    </row>
    <row r="41" spans="2:23" ht="15.75" customHeight="1" x14ac:dyDescent="0.35">
      <c r="B41" s="313"/>
      <c r="C41" s="294"/>
      <c r="D41" s="472"/>
      <c r="E41" s="473"/>
      <c r="F41" s="473"/>
      <c r="G41" s="294"/>
      <c r="H41" s="317"/>
      <c r="I41" s="315"/>
      <c r="J41" s="294"/>
      <c r="K41" s="294"/>
      <c r="L41" s="294"/>
    </row>
    <row r="42" spans="2:23" ht="15.75" customHeight="1" x14ac:dyDescent="0.35">
      <c r="B42" s="313"/>
      <c r="C42" s="294"/>
      <c r="D42" s="314"/>
      <c r="E42" s="294"/>
      <c r="F42" s="294"/>
      <c r="G42" s="294"/>
      <c r="H42" s="294"/>
      <c r="I42" s="315"/>
      <c r="J42" s="294"/>
      <c r="K42" s="294"/>
      <c r="L42" s="294"/>
    </row>
    <row r="43" spans="2:23" ht="15.75" customHeight="1" x14ac:dyDescent="0.35">
      <c r="B43" s="313"/>
      <c r="C43" s="294"/>
      <c r="D43" s="294"/>
      <c r="E43" s="294"/>
      <c r="F43" s="294"/>
      <c r="G43" s="294"/>
      <c r="H43" s="294"/>
      <c r="I43" s="315"/>
      <c r="J43" s="294"/>
      <c r="K43" s="294"/>
      <c r="L43" s="294"/>
    </row>
    <row r="44" spans="2:23" ht="15.75" customHeight="1" x14ac:dyDescent="0.3">
      <c r="B44" s="318"/>
      <c r="C44" s="292"/>
      <c r="D44" s="292"/>
      <c r="E44" s="320"/>
      <c r="F44" s="292"/>
      <c r="G44" s="292"/>
      <c r="H44" s="292"/>
      <c r="I44" s="319"/>
    </row>
    <row r="45" spans="2:23" ht="15.75" customHeight="1" x14ac:dyDescent="0.3">
      <c r="B45" s="318"/>
      <c r="C45" s="382"/>
      <c r="D45" s="383"/>
      <c r="E45" s="383"/>
      <c r="F45" s="292"/>
      <c r="G45" s="292"/>
      <c r="H45" s="292"/>
      <c r="I45" s="319"/>
    </row>
    <row r="46" spans="2:23" ht="15.75" customHeight="1" x14ac:dyDescent="0.3">
      <c r="B46" s="318"/>
      <c r="C46" s="292"/>
      <c r="D46" s="292"/>
      <c r="E46" s="292"/>
      <c r="F46" s="292"/>
      <c r="G46" s="292"/>
      <c r="H46" s="292"/>
      <c r="I46" s="319"/>
    </row>
    <row r="47" spans="2:23" s="288" customFormat="1" ht="15.75" customHeight="1" x14ac:dyDescent="0.3">
      <c r="B47" s="318"/>
      <c r="C47" s="384">
        <f>E4</f>
        <v>100.7</v>
      </c>
      <c r="D47" s="385"/>
      <c r="E47" s="385"/>
      <c r="F47" s="292"/>
      <c r="G47" s="292"/>
      <c r="H47" s="292"/>
      <c r="I47" s="319"/>
      <c r="J47" s="292"/>
      <c r="K47" s="292"/>
      <c r="L47" s="292"/>
      <c r="M47" s="292"/>
      <c r="N47" s="292"/>
      <c r="O47" s="292"/>
      <c r="P47" s="292"/>
      <c r="Q47" s="292"/>
      <c r="R47" s="292"/>
      <c r="S47" s="292"/>
      <c r="T47" s="292"/>
      <c r="U47" s="292"/>
      <c r="V47" s="292"/>
      <c r="W47" s="292"/>
    </row>
    <row r="48" spans="2:23" s="288" customFormat="1" ht="15.75" customHeight="1" x14ac:dyDescent="0.3">
      <c r="B48" s="318"/>
      <c r="C48" s="380" t="s">
        <v>525</v>
      </c>
      <c r="D48" s="381"/>
      <c r="E48" s="381"/>
      <c r="F48" s="292"/>
      <c r="G48" s="292"/>
      <c r="H48" s="292"/>
      <c r="I48" s="319"/>
      <c r="J48" s="292"/>
      <c r="K48" s="292"/>
      <c r="L48" s="292"/>
      <c r="M48" s="292"/>
      <c r="N48" s="292"/>
      <c r="O48" s="292"/>
      <c r="P48" s="292"/>
      <c r="Q48" s="292"/>
      <c r="R48" s="292"/>
      <c r="S48" s="292"/>
      <c r="T48" s="292"/>
      <c r="U48" s="292"/>
      <c r="V48" s="292"/>
      <c r="W48" s="292"/>
    </row>
    <row r="49" spans="2:9" ht="15.75" customHeight="1" thickBot="1" x14ac:dyDescent="0.35">
      <c r="B49" s="322"/>
      <c r="C49" s="323"/>
      <c r="D49" s="323"/>
      <c r="E49" s="323"/>
      <c r="F49" s="323"/>
      <c r="G49" s="323"/>
      <c r="H49" s="323"/>
      <c r="I49" s="324"/>
    </row>
    <row r="50" spans="2:9" ht="15.75" customHeight="1" x14ac:dyDescent="0.3"/>
    <row r="51" spans="2:9" ht="15.75" customHeight="1" x14ac:dyDescent="0.3"/>
    <row r="52" spans="2:9" ht="15.75" customHeight="1" x14ac:dyDescent="0.3"/>
    <row r="53" spans="2:9" ht="15.75" customHeight="1" x14ac:dyDescent="0.3"/>
    <row r="54" spans="2:9" ht="15.75" customHeight="1" x14ac:dyDescent="0.3"/>
    <row r="55" spans="2:9" ht="15.75" customHeight="1" x14ac:dyDescent="0.3"/>
    <row r="56" spans="2:9" ht="15.75" customHeight="1" x14ac:dyDescent="0.3"/>
    <row r="57" spans="2:9" ht="15.75" customHeight="1" x14ac:dyDescent="0.3"/>
    <row r="58" spans="2:9" ht="15.75" customHeight="1" x14ac:dyDescent="0.3"/>
    <row r="59" spans="2:9" ht="15.75" customHeight="1" x14ac:dyDescent="0.3"/>
    <row r="60" spans="2:9" ht="15.75" customHeight="1" x14ac:dyDescent="0.3"/>
    <row r="61" spans="2:9" ht="15.75" customHeight="1" x14ac:dyDescent="0.3"/>
    <row r="62" spans="2:9" ht="15.75" customHeight="1" x14ac:dyDescent="0.3"/>
    <row r="63" spans="2:9" ht="15.75" customHeight="1" x14ac:dyDescent="0.3"/>
    <row r="64" spans="2:9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61">
    <mergeCell ref="J25:J26"/>
    <mergeCell ref="E27:G27"/>
    <mergeCell ref="B20:B22"/>
    <mergeCell ref="B25:B26"/>
    <mergeCell ref="B28:C28"/>
    <mergeCell ref="B29:C29"/>
    <mergeCell ref="B12:B15"/>
    <mergeCell ref="C16:C18"/>
    <mergeCell ref="G4:I4"/>
    <mergeCell ref="G3:I3"/>
    <mergeCell ref="E4:F4"/>
    <mergeCell ref="B1:I1"/>
    <mergeCell ref="B2:I2"/>
    <mergeCell ref="B4:D4"/>
    <mergeCell ref="B3:D3"/>
    <mergeCell ref="E3:F3"/>
    <mergeCell ref="G5:I5"/>
    <mergeCell ref="D7:I7"/>
    <mergeCell ref="B7:C7"/>
    <mergeCell ref="J7:L7"/>
    <mergeCell ref="B6:C6"/>
    <mergeCell ref="D6:I6"/>
    <mergeCell ref="B5:D5"/>
    <mergeCell ref="E5:F5"/>
    <mergeCell ref="B9:B11"/>
    <mergeCell ref="B8:C8"/>
    <mergeCell ref="B16:B18"/>
    <mergeCell ref="E14:G14"/>
    <mergeCell ref="E12:G12"/>
    <mergeCell ref="E11:G11"/>
    <mergeCell ref="E9:G9"/>
    <mergeCell ref="E10:G10"/>
    <mergeCell ref="E13:G13"/>
    <mergeCell ref="E8:G8"/>
    <mergeCell ref="D16:D18"/>
    <mergeCell ref="E22:G22"/>
    <mergeCell ref="E16:E17"/>
    <mergeCell ref="J17:J18"/>
    <mergeCell ref="J20:J22"/>
    <mergeCell ref="I16:I18"/>
    <mergeCell ref="H16:H17"/>
    <mergeCell ref="F16:G17"/>
    <mergeCell ref="F18:G18"/>
    <mergeCell ref="E15:G15"/>
    <mergeCell ref="E20:G20"/>
    <mergeCell ref="E19:G19"/>
    <mergeCell ref="E21:G21"/>
    <mergeCell ref="C48:E48"/>
    <mergeCell ref="C45:E45"/>
    <mergeCell ref="C47:E47"/>
    <mergeCell ref="E24:G24"/>
    <mergeCell ref="E23:G23"/>
    <mergeCell ref="D29:I29"/>
    <mergeCell ref="G30:I30"/>
    <mergeCell ref="G31:I31"/>
    <mergeCell ref="F36:H36"/>
    <mergeCell ref="D41:F41"/>
    <mergeCell ref="B30:F31"/>
    <mergeCell ref="D28:I28"/>
    <mergeCell ref="E26:G26"/>
    <mergeCell ref="E25:G25"/>
  </mergeCells>
  <pageMargins left="0.7" right="0.7" top="0.75" bottom="0.75" header="0" footer="0"/>
  <pageSetup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topLeftCell="A7" workbookViewId="0">
      <selection sqref="A1:H1"/>
    </sheetView>
  </sheetViews>
  <sheetFormatPr baseColWidth="10" defaultColWidth="14.44140625" defaultRowHeight="15" customHeight="1" x14ac:dyDescent="0.3"/>
  <cols>
    <col min="1" max="1" width="13.33203125" customWidth="1"/>
    <col min="2" max="2" width="16.6640625" customWidth="1"/>
    <col min="3" max="3" width="14" customWidth="1"/>
    <col min="4" max="4" width="15.44140625" customWidth="1"/>
    <col min="5" max="5" width="8.5546875" customWidth="1"/>
    <col min="6" max="6" width="2.5546875" customWidth="1"/>
    <col min="7" max="8" width="8.5546875" customWidth="1"/>
    <col min="9" max="9" width="18.88671875" customWidth="1"/>
    <col min="10" max="10" width="20.5546875" customWidth="1"/>
    <col min="11" max="11" width="19.44140625" customWidth="1"/>
  </cols>
  <sheetData>
    <row r="1" spans="1:11" ht="22.8" x14ac:dyDescent="0.4">
      <c r="A1" s="344"/>
      <c r="B1" s="332"/>
      <c r="C1" s="332"/>
      <c r="D1" s="332"/>
      <c r="E1" s="332"/>
      <c r="F1" s="332"/>
      <c r="G1" s="332"/>
      <c r="H1" s="330"/>
      <c r="I1" s="86"/>
      <c r="J1" s="71"/>
    </row>
    <row r="2" spans="1:11" ht="20.399999999999999" x14ac:dyDescent="0.35">
      <c r="A2" s="488" t="s">
        <v>106</v>
      </c>
      <c r="B2" s="332"/>
      <c r="C2" s="332"/>
      <c r="D2" s="332"/>
      <c r="E2" s="332"/>
      <c r="F2" s="332"/>
      <c r="G2" s="332"/>
      <c r="H2" s="330"/>
      <c r="I2" s="87"/>
      <c r="J2" s="71"/>
    </row>
    <row r="3" spans="1:11" ht="21" x14ac:dyDescent="0.4">
      <c r="A3" s="331" t="s">
        <v>3</v>
      </c>
      <c r="B3" s="332"/>
      <c r="C3" s="330"/>
      <c r="D3" s="37">
        <v>160</v>
      </c>
      <c r="E3" s="489" t="s">
        <v>4</v>
      </c>
      <c r="F3" s="332"/>
      <c r="G3" s="332"/>
      <c r="H3" s="330"/>
      <c r="I3" s="72"/>
      <c r="J3" s="71"/>
    </row>
    <row r="4" spans="1:11" ht="20.25" customHeight="1" x14ac:dyDescent="0.4">
      <c r="A4" s="373" t="s">
        <v>6</v>
      </c>
      <c r="B4" s="332"/>
      <c r="C4" s="330"/>
      <c r="D4" s="37">
        <v>240</v>
      </c>
      <c r="E4" s="489" t="s">
        <v>4</v>
      </c>
      <c r="F4" s="332"/>
      <c r="G4" s="332"/>
      <c r="H4" s="330"/>
      <c r="I4" s="72"/>
      <c r="J4" s="71"/>
    </row>
    <row r="5" spans="1:11" ht="20.25" customHeight="1" x14ac:dyDescent="0.4">
      <c r="A5" s="373" t="s">
        <v>7</v>
      </c>
      <c r="B5" s="332"/>
      <c r="C5" s="330"/>
      <c r="D5" s="88">
        <v>1</v>
      </c>
      <c r="E5" s="345"/>
      <c r="F5" s="332"/>
      <c r="G5" s="332"/>
      <c r="H5" s="330"/>
      <c r="I5" s="89"/>
      <c r="J5" s="71"/>
    </row>
    <row r="6" spans="1:11" ht="21" x14ac:dyDescent="0.4">
      <c r="A6" s="345" t="s">
        <v>72</v>
      </c>
      <c r="B6" s="330"/>
      <c r="C6" s="345"/>
      <c r="D6" s="332"/>
      <c r="E6" s="332"/>
      <c r="F6" s="332"/>
      <c r="G6" s="332"/>
      <c r="H6" s="330"/>
      <c r="J6" s="71"/>
    </row>
    <row r="7" spans="1:11" ht="21" x14ac:dyDescent="0.4">
      <c r="A7" s="345" t="s">
        <v>9</v>
      </c>
      <c r="B7" s="330"/>
      <c r="C7" s="345"/>
      <c r="D7" s="332"/>
      <c r="E7" s="332"/>
      <c r="F7" s="332"/>
      <c r="G7" s="332"/>
      <c r="H7" s="330"/>
      <c r="I7" s="366"/>
      <c r="J7" s="332"/>
      <c r="K7" s="330"/>
    </row>
    <row r="8" spans="1:11" ht="24" x14ac:dyDescent="0.4">
      <c r="A8" s="373" t="s">
        <v>61</v>
      </c>
      <c r="B8" s="330"/>
      <c r="C8" s="60" t="s">
        <v>11</v>
      </c>
      <c r="D8" s="409" t="s">
        <v>12</v>
      </c>
      <c r="E8" s="332"/>
      <c r="F8" s="330"/>
      <c r="G8" s="90" t="s">
        <v>13</v>
      </c>
      <c r="H8" s="62" t="s">
        <v>107</v>
      </c>
      <c r="I8" s="41"/>
      <c r="J8" s="41"/>
      <c r="K8" s="41"/>
    </row>
    <row r="9" spans="1:11" ht="14.4" x14ac:dyDescent="0.3">
      <c r="A9" s="362" t="s">
        <v>19</v>
      </c>
      <c r="B9" s="13" t="s">
        <v>20</v>
      </c>
      <c r="C9" s="13" t="s">
        <v>85</v>
      </c>
      <c r="D9" s="346">
        <f>D4</f>
        <v>240</v>
      </c>
      <c r="E9" s="332"/>
      <c r="F9" s="330"/>
      <c r="G9" s="13">
        <f>D5*1</f>
        <v>1</v>
      </c>
      <c r="H9" s="13">
        <v>90</v>
      </c>
      <c r="I9" s="13"/>
      <c r="J9" s="13"/>
      <c r="K9" s="43"/>
    </row>
    <row r="10" spans="1:11" ht="14.4" x14ac:dyDescent="0.3">
      <c r="A10" s="354"/>
      <c r="B10" s="13" t="s">
        <v>23</v>
      </c>
      <c r="C10" s="13" t="s">
        <v>86</v>
      </c>
      <c r="D10" s="346">
        <f>D4</f>
        <v>240</v>
      </c>
      <c r="E10" s="332"/>
      <c r="F10" s="330"/>
      <c r="G10" s="13">
        <f>D5*1</f>
        <v>1</v>
      </c>
      <c r="H10" s="13">
        <v>90</v>
      </c>
      <c r="I10" s="13"/>
      <c r="J10" s="13"/>
      <c r="K10" s="43"/>
    </row>
    <row r="11" spans="1:11" ht="14.4" x14ac:dyDescent="0.3">
      <c r="A11" s="342"/>
      <c r="B11" s="13" t="s">
        <v>26</v>
      </c>
      <c r="C11" s="13" t="s">
        <v>87</v>
      </c>
      <c r="D11" s="346">
        <f>D3-1.1</f>
        <v>158.9</v>
      </c>
      <c r="E11" s="332"/>
      <c r="F11" s="330"/>
      <c r="G11" s="13">
        <f>D5*2</f>
        <v>2</v>
      </c>
      <c r="H11" s="13">
        <v>90</v>
      </c>
      <c r="I11" s="13"/>
      <c r="J11" s="13"/>
      <c r="K11" s="43"/>
    </row>
    <row r="12" spans="1:11" ht="14.4" x14ac:dyDescent="0.3">
      <c r="A12" s="481" t="s">
        <v>66</v>
      </c>
      <c r="B12" s="13" t="s">
        <v>89</v>
      </c>
      <c r="C12" s="13" t="s">
        <v>90</v>
      </c>
      <c r="D12" s="346">
        <f>D3-0.3</f>
        <v>159.69999999999999</v>
      </c>
      <c r="E12" s="332"/>
      <c r="F12" s="330"/>
      <c r="G12" s="13">
        <f>D5*1</f>
        <v>1</v>
      </c>
      <c r="H12" s="13">
        <v>90</v>
      </c>
      <c r="I12" s="13"/>
      <c r="J12" s="13"/>
      <c r="K12" s="43"/>
    </row>
    <row r="13" spans="1:11" ht="14.4" x14ac:dyDescent="0.3">
      <c r="A13" s="354"/>
      <c r="B13" s="13" t="s">
        <v>91</v>
      </c>
      <c r="C13" s="13" t="s">
        <v>92</v>
      </c>
      <c r="D13" s="346">
        <f>D12</f>
        <v>159.69999999999999</v>
      </c>
      <c r="E13" s="332"/>
      <c r="F13" s="330"/>
      <c r="G13" s="13">
        <f>D5*1</f>
        <v>1</v>
      </c>
      <c r="H13" s="13">
        <v>90</v>
      </c>
      <c r="I13" s="13"/>
      <c r="J13" s="13"/>
      <c r="K13" s="43"/>
    </row>
    <row r="14" spans="1:11" ht="14.4" x14ac:dyDescent="0.3">
      <c r="A14" s="354"/>
      <c r="B14" s="13" t="s">
        <v>93</v>
      </c>
      <c r="C14" s="13" t="s">
        <v>94</v>
      </c>
      <c r="D14" s="346">
        <f>(D4+3)/3</f>
        <v>81</v>
      </c>
      <c r="E14" s="332"/>
      <c r="F14" s="330"/>
      <c r="G14" s="13">
        <f>D5*1</f>
        <v>1</v>
      </c>
      <c r="H14" s="13">
        <v>90</v>
      </c>
      <c r="I14" s="13"/>
      <c r="J14" s="13"/>
      <c r="K14" s="43"/>
    </row>
    <row r="15" spans="1:11" ht="14.4" x14ac:dyDescent="0.3">
      <c r="A15" s="342"/>
      <c r="B15" s="13" t="s">
        <v>95</v>
      </c>
      <c r="C15" s="13" t="s">
        <v>96</v>
      </c>
      <c r="D15" s="346">
        <f>D14</f>
        <v>81</v>
      </c>
      <c r="E15" s="332"/>
      <c r="F15" s="330"/>
      <c r="G15" s="13">
        <f>D5*1</f>
        <v>1</v>
      </c>
      <c r="H15" s="13">
        <v>90</v>
      </c>
      <c r="I15" s="13"/>
      <c r="J15" s="13"/>
      <c r="K15" s="14"/>
    </row>
    <row r="16" spans="1:11" ht="14.4" x14ac:dyDescent="0.3">
      <c r="A16" s="481" t="s">
        <v>108</v>
      </c>
      <c r="B16" s="13" t="s">
        <v>89</v>
      </c>
      <c r="C16" s="13" t="s">
        <v>90</v>
      </c>
      <c r="D16" s="346">
        <f>D3-2.5</f>
        <v>157.5</v>
      </c>
      <c r="E16" s="332"/>
      <c r="F16" s="330"/>
      <c r="G16" s="13">
        <f>D5*3</f>
        <v>3</v>
      </c>
      <c r="H16" s="13">
        <v>90</v>
      </c>
      <c r="I16" s="13"/>
      <c r="J16" s="13"/>
      <c r="K16" s="91"/>
    </row>
    <row r="17" spans="1:11" ht="14.4" x14ac:dyDescent="0.3">
      <c r="A17" s="354"/>
      <c r="B17" s="13" t="s">
        <v>91</v>
      </c>
      <c r="C17" s="13" t="s">
        <v>92</v>
      </c>
      <c r="D17" s="346">
        <f>D3-2.5</f>
        <v>157.5</v>
      </c>
      <c r="E17" s="332"/>
      <c r="F17" s="330"/>
      <c r="G17" s="13">
        <f>D5*1</f>
        <v>1</v>
      </c>
      <c r="H17" s="13">
        <v>90</v>
      </c>
      <c r="I17" s="92"/>
      <c r="J17" s="13"/>
      <c r="K17" s="14"/>
    </row>
    <row r="18" spans="1:11" ht="14.4" x14ac:dyDescent="0.25">
      <c r="A18" s="354"/>
      <c r="B18" s="13" t="s">
        <v>93</v>
      </c>
      <c r="C18" s="13" t="s">
        <v>94</v>
      </c>
      <c r="D18" s="346">
        <f>(D4+3)/3</f>
        <v>81</v>
      </c>
      <c r="E18" s="332"/>
      <c r="F18" s="330"/>
      <c r="G18" s="13">
        <f>D5*2</f>
        <v>2</v>
      </c>
      <c r="H18" s="13">
        <v>90</v>
      </c>
      <c r="I18" s="93"/>
      <c r="J18" s="71"/>
    </row>
    <row r="19" spans="1:11" ht="14.4" x14ac:dyDescent="0.25">
      <c r="A19" s="354"/>
      <c r="B19" s="13" t="s">
        <v>95</v>
      </c>
      <c r="C19" s="13" t="s">
        <v>96</v>
      </c>
      <c r="D19" s="346">
        <f>D18</f>
        <v>81</v>
      </c>
      <c r="E19" s="332"/>
      <c r="F19" s="330"/>
      <c r="G19" s="13">
        <f>D5*2</f>
        <v>2</v>
      </c>
      <c r="H19" s="13">
        <v>90</v>
      </c>
      <c r="I19" s="93"/>
      <c r="J19" s="71"/>
    </row>
    <row r="20" spans="1:11" ht="14.4" x14ac:dyDescent="0.25">
      <c r="A20" s="354"/>
      <c r="B20" s="13" t="s">
        <v>109</v>
      </c>
      <c r="C20" s="13"/>
      <c r="D20" s="346">
        <f>D15</f>
        <v>81</v>
      </c>
      <c r="E20" s="332"/>
      <c r="F20" s="330"/>
      <c r="G20" s="13">
        <f>D5*1</f>
        <v>1</v>
      </c>
      <c r="H20" s="13">
        <v>90</v>
      </c>
      <c r="I20" s="93"/>
      <c r="J20" s="71"/>
    </row>
    <row r="21" spans="1:11" ht="15.75" customHeight="1" x14ac:dyDescent="0.25">
      <c r="A21" s="342"/>
      <c r="B21" s="13" t="s">
        <v>110</v>
      </c>
      <c r="C21" s="13" t="s">
        <v>111</v>
      </c>
      <c r="D21" s="346">
        <f>D12</f>
        <v>159.69999999999999</v>
      </c>
      <c r="E21" s="332"/>
      <c r="F21" s="330"/>
      <c r="G21" s="13">
        <f>D5*1</f>
        <v>1</v>
      </c>
      <c r="H21" s="13">
        <v>90</v>
      </c>
      <c r="I21" s="93"/>
      <c r="J21" s="71"/>
    </row>
    <row r="22" spans="1:11" ht="15.75" customHeight="1" x14ac:dyDescent="0.25">
      <c r="A22" s="341" t="s">
        <v>39</v>
      </c>
      <c r="B22" s="359" t="s">
        <v>112</v>
      </c>
      <c r="C22" s="341"/>
      <c r="D22" s="486" t="s">
        <v>3</v>
      </c>
      <c r="E22" s="487" t="s">
        <v>41</v>
      </c>
      <c r="F22" s="336"/>
      <c r="G22" s="485"/>
      <c r="H22" s="485"/>
      <c r="I22" s="93"/>
      <c r="J22" s="71"/>
    </row>
    <row r="23" spans="1:11" ht="15.75" customHeight="1" x14ac:dyDescent="0.25">
      <c r="A23" s="354"/>
      <c r="B23" s="342"/>
      <c r="C23" s="342"/>
      <c r="D23" s="342"/>
      <c r="E23" s="337"/>
      <c r="F23" s="339"/>
      <c r="G23" s="342"/>
      <c r="H23" s="354"/>
      <c r="I23" s="93"/>
      <c r="J23" s="71"/>
    </row>
    <row r="24" spans="1:11" ht="15.75" customHeight="1" x14ac:dyDescent="0.25">
      <c r="A24" s="354"/>
      <c r="B24" s="94" t="s">
        <v>113</v>
      </c>
      <c r="C24" s="95"/>
      <c r="D24" s="19">
        <f>D12-7</f>
        <v>152.69999999999999</v>
      </c>
      <c r="E24" s="357">
        <f>D14-5.5</f>
        <v>75.5</v>
      </c>
      <c r="F24" s="330"/>
      <c r="G24" s="18">
        <f>D5*1</f>
        <v>1</v>
      </c>
      <c r="H24" s="354"/>
      <c r="I24" s="482"/>
      <c r="J24" s="71"/>
    </row>
    <row r="25" spans="1:11" ht="15.75" customHeight="1" x14ac:dyDescent="0.25">
      <c r="A25" s="354"/>
      <c r="B25" s="94" t="s">
        <v>114</v>
      </c>
      <c r="C25" s="94"/>
      <c r="D25" s="19">
        <f>D16-7</f>
        <v>150.5</v>
      </c>
      <c r="E25" s="357">
        <f>D18-4.6</f>
        <v>76.400000000000006</v>
      </c>
      <c r="F25" s="330"/>
      <c r="G25" s="18">
        <f>D5*1</f>
        <v>1</v>
      </c>
      <c r="H25" s="354"/>
      <c r="I25" s="327"/>
      <c r="J25" s="71"/>
    </row>
    <row r="26" spans="1:11" ht="15.75" customHeight="1" x14ac:dyDescent="0.25">
      <c r="A26" s="342"/>
      <c r="B26" s="94" t="s">
        <v>115</v>
      </c>
      <c r="C26" s="94"/>
      <c r="D26" s="19">
        <f>D16-7</f>
        <v>150.5</v>
      </c>
      <c r="E26" s="357">
        <f>D18-5.5</f>
        <v>75.5</v>
      </c>
      <c r="F26" s="330"/>
      <c r="G26" s="18">
        <f>D5*1</f>
        <v>1</v>
      </c>
      <c r="H26" s="342"/>
      <c r="I26" s="327"/>
      <c r="J26" s="71"/>
    </row>
    <row r="27" spans="1:11" ht="15.75" customHeight="1" x14ac:dyDescent="0.25">
      <c r="A27" s="13" t="s">
        <v>42</v>
      </c>
      <c r="B27" s="13">
        <v>744</v>
      </c>
      <c r="C27" s="13"/>
      <c r="D27" s="346"/>
      <c r="E27" s="332"/>
      <c r="F27" s="330"/>
      <c r="G27" s="13">
        <f>(D24*6)+(E24*6)*D5</f>
        <v>1369.1999999999998</v>
      </c>
      <c r="H27" s="13" t="s">
        <v>43</v>
      </c>
      <c r="I27" s="93"/>
      <c r="J27" s="71"/>
    </row>
    <row r="28" spans="1:11" ht="15.75" customHeight="1" x14ac:dyDescent="0.25">
      <c r="A28" s="481" t="s">
        <v>44</v>
      </c>
      <c r="B28" s="13" t="s">
        <v>45</v>
      </c>
      <c r="C28" s="13"/>
      <c r="D28" s="333"/>
      <c r="E28" s="332"/>
      <c r="F28" s="330"/>
      <c r="G28" s="13">
        <f>D5*16</f>
        <v>16</v>
      </c>
      <c r="H28" s="13"/>
      <c r="I28" s="482"/>
      <c r="J28" s="71"/>
    </row>
    <row r="29" spans="1:11" ht="15.75" customHeight="1" x14ac:dyDescent="0.25">
      <c r="A29" s="354"/>
      <c r="B29" s="13" t="s">
        <v>116</v>
      </c>
      <c r="C29" s="13"/>
      <c r="D29" s="333"/>
      <c r="E29" s="332"/>
      <c r="F29" s="330"/>
      <c r="G29" s="13">
        <f>D5*10</f>
        <v>10</v>
      </c>
      <c r="H29" s="13"/>
      <c r="I29" s="327"/>
      <c r="J29" s="71"/>
    </row>
    <row r="30" spans="1:11" ht="15.75" customHeight="1" x14ac:dyDescent="0.25">
      <c r="A30" s="342"/>
      <c r="B30" s="13" t="s">
        <v>100</v>
      </c>
      <c r="C30" s="13"/>
      <c r="D30" s="333"/>
      <c r="E30" s="332"/>
      <c r="F30" s="330"/>
      <c r="G30" s="13">
        <f>D5*6</f>
        <v>6</v>
      </c>
      <c r="H30" s="13"/>
      <c r="I30" s="327"/>
      <c r="J30" s="71"/>
    </row>
    <row r="31" spans="1:11" ht="15.75" customHeight="1" x14ac:dyDescent="0.25">
      <c r="A31" s="13" t="s">
        <v>70</v>
      </c>
      <c r="B31" s="13" t="s">
        <v>101</v>
      </c>
      <c r="C31" s="13"/>
      <c r="D31" s="333"/>
      <c r="E31" s="332"/>
      <c r="F31" s="330"/>
      <c r="G31" s="13">
        <f>D5*10</f>
        <v>10</v>
      </c>
      <c r="H31" s="13"/>
      <c r="I31" s="93"/>
      <c r="J31" s="71"/>
    </row>
    <row r="32" spans="1:11" ht="15.75" customHeight="1" x14ac:dyDescent="0.25">
      <c r="A32" s="15" t="s">
        <v>80</v>
      </c>
      <c r="B32" s="13" t="s">
        <v>102</v>
      </c>
      <c r="C32" s="13"/>
      <c r="D32" s="333"/>
      <c r="E32" s="332"/>
      <c r="F32" s="330"/>
      <c r="G32" s="13">
        <f>D5*4</f>
        <v>4</v>
      </c>
      <c r="H32" s="13"/>
      <c r="I32" s="93"/>
      <c r="J32" s="71"/>
    </row>
    <row r="33" spans="1:10" ht="15.75" customHeight="1" x14ac:dyDescent="0.25">
      <c r="A33" s="481" t="s">
        <v>53</v>
      </c>
      <c r="B33" s="13" t="s">
        <v>103</v>
      </c>
      <c r="C33" s="13"/>
      <c r="D33" s="333"/>
      <c r="E33" s="332"/>
      <c r="F33" s="330"/>
      <c r="G33" s="13">
        <f>D5*4</f>
        <v>4</v>
      </c>
      <c r="H33" s="13"/>
      <c r="I33" s="482"/>
      <c r="J33" s="71"/>
    </row>
    <row r="34" spans="1:10" ht="15.75" customHeight="1" x14ac:dyDescent="0.25">
      <c r="A34" s="342"/>
      <c r="B34" s="13" t="s">
        <v>104</v>
      </c>
      <c r="C34" s="13"/>
      <c r="D34" s="333"/>
      <c r="E34" s="332"/>
      <c r="F34" s="330"/>
      <c r="G34" s="13">
        <f>D5*4</f>
        <v>4</v>
      </c>
      <c r="H34" s="13"/>
      <c r="I34" s="327"/>
      <c r="J34" s="71"/>
    </row>
    <row r="35" spans="1:10" ht="15.75" customHeight="1" x14ac:dyDescent="0.25">
      <c r="A35" s="13" t="s">
        <v>54</v>
      </c>
      <c r="B35" s="13" t="s">
        <v>105</v>
      </c>
      <c r="C35" s="13"/>
      <c r="D35" s="333"/>
      <c r="E35" s="332"/>
      <c r="F35" s="330"/>
      <c r="G35" s="13">
        <f>D5*1</f>
        <v>1</v>
      </c>
      <c r="H35" s="13"/>
      <c r="I35" s="93"/>
      <c r="J35" s="71"/>
    </row>
    <row r="36" spans="1:10" ht="15.75" customHeight="1" x14ac:dyDescent="0.3">
      <c r="A36" s="331" t="s">
        <v>56</v>
      </c>
      <c r="B36" s="330"/>
      <c r="C36" s="331"/>
      <c r="D36" s="332"/>
      <c r="E36" s="332"/>
      <c r="F36" s="332"/>
      <c r="G36" s="332"/>
      <c r="H36" s="330"/>
      <c r="I36" s="93"/>
      <c r="J36" s="71"/>
    </row>
    <row r="37" spans="1:10" ht="15.75" customHeight="1" x14ac:dyDescent="0.3">
      <c r="A37" s="331" t="s">
        <v>57</v>
      </c>
      <c r="B37" s="330"/>
      <c r="C37" s="331"/>
      <c r="D37" s="332"/>
      <c r="E37" s="332"/>
      <c r="F37" s="332"/>
      <c r="G37" s="332"/>
      <c r="H37" s="330"/>
      <c r="I37" s="93"/>
      <c r="J37" s="71"/>
    </row>
    <row r="38" spans="1:10" ht="18" customHeight="1" x14ac:dyDescent="0.25">
      <c r="A38" s="334" t="s">
        <v>58</v>
      </c>
      <c r="B38" s="335"/>
      <c r="C38" s="335"/>
      <c r="D38" s="335"/>
      <c r="E38" s="336"/>
      <c r="F38" s="334" t="s">
        <v>59</v>
      </c>
      <c r="G38" s="335"/>
      <c r="H38" s="336"/>
      <c r="I38" s="93"/>
      <c r="J38" s="71"/>
    </row>
    <row r="39" spans="1:10" ht="18" customHeight="1" x14ac:dyDescent="0.25">
      <c r="A39" s="337"/>
      <c r="B39" s="338"/>
      <c r="C39" s="338"/>
      <c r="D39" s="338"/>
      <c r="E39" s="339"/>
      <c r="F39" s="337"/>
      <c r="G39" s="338"/>
      <c r="H39" s="339"/>
      <c r="I39" s="93"/>
      <c r="J39" s="71"/>
    </row>
    <row r="40" spans="1:10" ht="15.75" customHeight="1" x14ac:dyDescent="0.35">
      <c r="A40" s="80"/>
      <c r="B40" s="81"/>
      <c r="C40" s="484"/>
      <c r="D40" s="327"/>
      <c r="E40" s="327"/>
      <c r="F40" s="327"/>
      <c r="G40" s="71"/>
      <c r="H40" s="81"/>
      <c r="I40" s="71"/>
      <c r="J40" s="71"/>
    </row>
    <row r="41" spans="1:10" ht="15.75" customHeight="1" x14ac:dyDescent="0.35">
      <c r="A41" s="80"/>
      <c r="B41" s="81"/>
      <c r="C41" s="71"/>
      <c r="D41" s="71"/>
      <c r="E41" s="71"/>
      <c r="F41" s="71"/>
      <c r="G41" s="71"/>
      <c r="H41" s="81"/>
      <c r="I41" s="71"/>
      <c r="J41" s="71"/>
    </row>
    <row r="42" spans="1:10" ht="15.75" customHeight="1" x14ac:dyDescent="0.35">
      <c r="A42" s="80"/>
      <c r="B42" s="81"/>
      <c r="C42" s="71"/>
      <c r="D42" s="71"/>
      <c r="E42" s="71"/>
      <c r="F42" s="71"/>
      <c r="G42" s="71"/>
      <c r="H42" s="81"/>
      <c r="I42" s="71"/>
      <c r="J42" s="71"/>
    </row>
    <row r="43" spans="1:10" ht="15.75" customHeight="1" x14ac:dyDescent="0.35">
      <c r="A43" s="80"/>
      <c r="B43" s="81"/>
      <c r="C43" s="71"/>
      <c r="D43" s="71"/>
      <c r="E43" s="71"/>
      <c r="F43" s="71"/>
      <c r="G43" s="82"/>
      <c r="H43" s="81"/>
      <c r="I43" s="71"/>
      <c r="J43" s="71"/>
    </row>
    <row r="44" spans="1:10" ht="15.75" customHeight="1" x14ac:dyDescent="0.35">
      <c r="A44" s="80"/>
      <c r="B44" s="81"/>
      <c r="C44" s="71"/>
      <c r="D44" s="71"/>
      <c r="E44" s="71"/>
      <c r="F44" s="483">
        <f>D3</f>
        <v>160</v>
      </c>
      <c r="G44" s="327"/>
      <c r="H44" s="81"/>
      <c r="I44" s="71"/>
      <c r="J44" s="71"/>
    </row>
    <row r="45" spans="1:10" ht="15.75" customHeight="1" x14ac:dyDescent="0.35">
      <c r="A45" s="80"/>
      <c r="B45" s="81"/>
      <c r="C45" s="71"/>
      <c r="D45" s="71"/>
      <c r="E45" s="71"/>
      <c r="F45" s="71"/>
      <c r="G45" s="71"/>
      <c r="H45" s="81"/>
      <c r="I45" s="71"/>
      <c r="J45" s="71"/>
    </row>
    <row r="46" spans="1:10" ht="15.75" customHeight="1" x14ac:dyDescent="0.35">
      <c r="A46" s="80"/>
      <c r="B46" s="81"/>
      <c r="C46" s="484"/>
      <c r="D46" s="327"/>
      <c r="E46" s="327"/>
      <c r="F46" s="327"/>
      <c r="G46" s="71"/>
      <c r="H46" s="81"/>
      <c r="I46" s="71"/>
      <c r="J46" s="71"/>
    </row>
    <row r="47" spans="1:10" ht="15.75" customHeight="1" x14ac:dyDescent="0.35">
      <c r="A47" s="80"/>
      <c r="B47" s="81"/>
      <c r="C47" s="81"/>
      <c r="D47" s="81"/>
      <c r="E47" s="71"/>
      <c r="F47" s="71"/>
      <c r="G47" s="71"/>
      <c r="H47" s="81"/>
      <c r="I47" s="71"/>
      <c r="J47" s="71"/>
    </row>
    <row r="48" spans="1:10" ht="15.75" customHeight="1" x14ac:dyDescent="0.3"/>
    <row r="49" spans="2:5" ht="15.75" customHeight="1" x14ac:dyDescent="0.3"/>
    <row r="50" spans="2:5" ht="15.75" customHeight="1" x14ac:dyDescent="0.3"/>
    <row r="51" spans="2:5" ht="15.75" customHeight="1" x14ac:dyDescent="0.4">
      <c r="B51" s="328">
        <f>D4</f>
        <v>240</v>
      </c>
      <c r="C51" s="327"/>
      <c r="D51" s="327"/>
      <c r="E51" s="327"/>
    </row>
    <row r="52" spans="2:5" ht="15.75" customHeight="1" x14ac:dyDescent="0.3"/>
    <row r="53" spans="2:5" ht="15.75" customHeight="1" x14ac:dyDescent="0.3"/>
    <row r="54" spans="2:5" ht="15.75" customHeight="1" x14ac:dyDescent="0.3"/>
    <row r="55" spans="2:5" ht="15.75" customHeight="1" x14ac:dyDescent="0.3"/>
    <row r="56" spans="2:5" ht="15.75" customHeight="1" x14ac:dyDescent="0.3"/>
    <row r="57" spans="2:5" ht="15.75" customHeight="1" x14ac:dyDescent="0.3"/>
    <row r="58" spans="2:5" ht="15.75" customHeight="1" x14ac:dyDescent="0.3"/>
    <row r="59" spans="2:5" ht="15.75" customHeight="1" x14ac:dyDescent="0.3"/>
    <row r="60" spans="2:5" ht="15.75" customHeight="1" x14ac:dyDescent="0.3"/>
    <row r="61" spans="2:5" ht="15.75" customHeight="1" x14ac:dyDescent="0.3"/>
    <row r="62" spans="2:5" ht="15.75" customHeight="1" x14ac:dyDescent="0.3"/>
    <row r="63" spans="2:5" ht="15.75" customHeight="1" x14ac:dyDescent="0.3"/>
    <row r="64" spans="2:5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65">
    <mergeCell ref="A2:H2"/>
    <mergeCell ref="A1:H1"/>
    <mergeCell ref="A5:C5"/>
    <mergeCell ref="B22:B23"/>
    <mergeCell ref="E5:H5"/>
    <mergeCell ref="A4:C4"/>
    <mergeCell ref="A3:C3"/>
    <mergeCell ref="E3:H3"/>
    <mergeCell ref="E4:H4"/>
    <mergeCell ref="A6:B6"/>
    <mergeCell ref="A7:B7"/>
    <mergeCell ref="D9:F9"/>
    <mergeCell ref="C7:H7"/>
    <mergeCell ref="C6:H6"/>
    <mergeCell ref="D11:F11"/>
    <mergeCell ref="D12:F12"/>
    <mergeCell ref="I28:I30"/>
    <mergeCell ref="I24:I26"/>
    <mergeCell ref="H22:H26"/>
    <mergeCell ref="G22:G23"/>
    <mergeCell ref="C22:C23"/>
    <mergeCell ref="D22:D23"/>
    <mergeCell ref="E26:F26"/>
    <mergeCell ref="D29:F29"/>
    <mergeCell ref="D28:F28"/>
    <mergeCell ref="E22:F23"/>
    <mergeCell ref="E24:F24"/>
    <mergeCell ref="F44:G44"/>
    <mergeCell ref="C46:F46"/>
    <mergeCell ref="B51:E51"/>
    <mergeCell ref="A38:E39"/>
    <mergeCell ref="C40:F40"/>
    <mergeCell ref="F38:H39"/>
    <mergeCell ref="C37:H37"/>
    <mergeCell ref="C36:H36"/>
    <mergeCell ref="A37:B37"/>
    <mergeCell ref="A36:B36"/>
    <mergeCell ref="D35:F35"/>
    <mergeCell ref="I7:K7"/>
    <mergeCell ref="D13:F13"/>
    <mergeCell ref="A33:A34"/>
    <mergeCell ref="D32:F32"/>
    <mergeCell ref="D34:F34"/>
    <mergeCell ref="D33:F33"/>
    <mergeCell ref="I33:I34"/>
    <mergeCell ref="A22:A26"/>
    <mergeCell ref="A12:A15"/>
    <mergeCell ref="A16:A21"/>
    <mergeCell ref="A8:B8"/>
    <mergeCell ref="A9:A11"/>
    <mergeCell ref="D31:F31"/>
    <mergeCell ref="D30:F30"/>
    <mergeCell ref="D27:F27"/>
    <mergeCell ref="A28:A30"/>
    <mergeCell ref="D8:F8"/>
    <mergeCell ref="D15:F15"/>
    <mergeCell ref="D14:F14"/>
    <mergeCell ref="D17:F17"/>
    <mergeCell ref="D16:F16"/>
    <mergeCell ref="D10:F10"/>
    <mergeCell ref="D18:F18"/>
    <mergeCell ref="D19:F19"/>
    <mergeCell ref="E25:F25"/>
    <mergeCell ref="D20:F20"/>
    <mergeCell ref="D21:F21"/>
  </mergeCell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4"/>
  <sheetViews>
    <sheetView workbookViewId="0">
      <selection sqref="A1:H1"/>
    </sheetView>
  </sheetViews>
  <sheetFormatPr baseColWidth="10" defaultColWidth="14.44140625" defaultRowHeight="15" customHeight="1" x14ac:dyDescent="0.3"/>
  <cols>
    <col min="1" max="1" width="30.44140625" customWidth="1"/>
    <col min="2" max="2" width="22.44140625" customWidth="1"/>
    <col min="3" max="3" width="14" customWidth="1"/>
    <col min="4" max="4" width="15.44140625" customWidth="1"/>
    <col min="5" max="5" width="8.5546875" customWidth="1"/>
    <col min="6" max="6" width="3.6640625" customWidth="1"/>
    <col min="7" max="7" width="10.5546875" customWidth="1"/>
    <col min="8" max="8" width="8.5546875" customWidth="1"/>
    <col min="9" max="9" width="18.88671875" customWidth="1"/>
    <col min="10" max="10" width="20.5546875" customWidth="1"/>
    <col min="11" max="11" width="19.44140625" customWidth="1"/>
  </cols>
  <sheetData>
    <row r="1" spans="1:11" ht="22.8" x14ac:dyDescent="0.4">
      <c r="A1" s="344"/>
      <c r="B1" s="332"/>
      <c r="C1" s="332"/>
      <c r="D1" s="332"/>
      <c r="E1" s="332"/>
      <c r="F1" s="332"/>
      <c r="G1" s="332"/>
      <c r="H1" s="330"/>
      <c r="I1" s="86"/>
      <c r="J1" s="71"/>
    </row>
    <row r="2" spans="1:11" ht="20.399999999999999" x14ac:dyDescent="0.35">
      <c r="A2" s="488" t="s">
        <v>117</v>
      </c>
      <c r="B2" s="332"/>
      <c r="C2" s="332"/>
      <c r="D2" s="332"/>
      <c r="E2" s="332"/>
      <c r="F2" s="332"/>
      <c r="G2" s="332"/>
      <c r="H2" s="330"/>
      <c r="I2" s="87"/>
      <c r="J2" s="71"/>
    </row>
    <row r="3" spans="1:11" ht="21" x14ac:dyDescent="0.4">
      <c r="A3" s="331" t="s">
        <v>3</v>
      </c>
      <c r="B3" s="332"/>
      <c r="C3" s="330"/>
      <c r="D3" s="37">
        <v>202.5</v>
      </c>
      <c r="E3" s="489" t="s">
        <v>4</v>
      </c>
      <c r="F3" s="332"/>
      <c r="G3" s="332"/>
      <c r="H3" s="330"/>
      <c r="I3" s="72"/>
      <c r="J3" s="71"/>
    </row>
    <row r="4" spans="1:11" ht="20.25" customHeight="1" x14ac:dyDescent="0.4">
      <c r="A4" s="373" t="s">
        <v>6</v>
      </c>
      <c r="B4" s="332"/>
      <c r="C4" s="330"/>
      <c r="D4" s="37">
        <v>150</v>
      </c>
      <c r="E4" s="489" t="s">
        <v>4</v>
      </c>
      <c r="F4" s="332"/>
      <c r="G4" s="332"/>
      <c r="H4" s="330"/>
      <c r="I4" s="72"/>
      <c r="J4" s="71"/>
    </row>
    <row r="5" spans="1:11" ht="20.25" customHeight="1" x14ac:dyDescent="0.4">
      <c r="A5" s="373" t="s">
        <v>7</v>
      </c>
      <c r="B5" s="332"/>
      <c r="C5" s="330"/>
      <c r="D5" s="88">
        <v>1</v>
      </c>
      <c r="E5" s="345"/>
      <c r="F5" s="332"/>
      <c r="G5" s="332"/>
      <c r="H5" s="330"/>
      <c r="I5" s="89"/>
      <c r="J5" s="71"/>
    </row>
    <row r="6" spans="1:11" ht="21" x14ac:dyDescent="0.4">
      <c r="A6" s="345" t="s">
        <v>72</v>
      </c>
      <c r="B6" s="330"/>
      <c r="C6" s="345"/>
      <c r="D6" s="332"/>
      <c r="E6" s="332"/>
      <c r="F6" s="332"/>
      <c r="G6" s="332"/>
      <c r="H6" s="330"/>
      <c r="J6" s="71"/>
    </row>
    <row r="7" spans="1:11" ht="21" x14ac:dyDescent="0.4">
      <c r="A7" s="345" t="s">
        <v>9</v>
      </c>
      <c r="B7" s="330"/>
      <c r="C7" s="345"/>
      <c r="D7" s="332"/>
      <c r="E7" s="332"/>
      <c r="F7" s="332"/>
      <c r="G7" s="332"/>
      <c r="H7" s="330"/>
      <c r="I7" s="366"/>
      <c r="J7" s="332"/>
      <c r="K7" s="330"/>
    </row>
    <row r="8" spans="1:11" ht="24" x14ac:dyDescent="0.4">
      <c r="A8" s="373" t="s">
        <v>61</v>
      </c>
      <c r="B8" s="330"/>
      <c r="C8" s="60" t="s">
        <v>11</v>
      </c>
      <c r="D8" s="409" t="s">
        <v>12</v>
      </c>
      <c r="E8" s="332"/>
      <c r="F8" s="330"/>
      <c r="G8" s="90" t="s">
        <v>13</v>
      </c>
      <c r="H8" s="62" t="s">
        <v>107</v>
      </c>
      <c r="I8" s="41"/>
      <c r="J8" s="41"/>
      <c r="K8" s="41"/>
    </row>
    <row r="9" spans="1:11" ht="14.4" x14ac:dyDescent="0.3">
      <c r="A9" s="362" t="s">
        <v>19</v>
      </c>
      <c r="B9" s="13" t="s">
        <v>20</v>
      </c>
      <c r="C9" s="13" t="s">
        <v>85</v>
      </c>
      <c r="D9" s="346">
        <f>D4</f>
        <v>150</v>
      </c>
      <c r="E9" s="332"/>
      <c r="F9" s="330"/>
      <c r="G9" s="13">
        <f>D5*1</f>
        <v>1</v>
      </c>
      <c r="H9" s="13">
        <v>90</v>
      </c>
      <c r="I9" s="13"/>
      <c r="J9" s="13"/>
      <c r="K9" s="43"/>
    </row>
    <row r="10" spans="1:11" ht="14.4" x14ac:dyDescent="0.3">
      <c r="A10" s="354"/>
      <c r="B10" s="13" t="s">
        <v>23</v>
      </c>
      <c r="C10" s="13" t="s">
        <v>86</v>
      </c>
      <c r="D10" s="346">
        <f>D4</f>
        <v>150</v>
      </c>
      <c r="E10" s="332"/>
      <c r="F10" s="330"/>
      <c r="G10" s="13">
        <f>D5*1</f>
        <v>1</v>
      </c>
      <c r="H10" s="13">
        <v>90</v>
      </c>
      <c r="I10" s="13"/>
      <c r="J10" s="13"/>
      <c r="K10" s="43"/>
    </row>
    <row r="11" spans="1:11" ht="14.4" x14ac:dyDescent="0.3">
      <c r="A11" s="342"/>
      <c r="B11" s="13" t="s">
        <v>26</v>
      </c>
      <c r="C11" s="13" t="s">
        <v>87</v>
      </c>
      <c r="D11" s="346">
        <f>D3-1.1</f>
        <v>201.4</v>
      </c>
      <c r="E11" s="332"/>
      <c r="F11" s="330"/>
      <c r="G11" s="13">
        <f>D5*2</f>
        <v>2</v>
      </c>
      <c r="H11" s="13">
        <v>90</v>
      </c>
      <c r="I11" s="13"/>
      <c r="J11" s="13"/>
      <c r="K11" s="43"/>
    </row>
    <row r="12" spans="1:11" ht="14.4" x14ac:dyDescent="0.3">
      <c r="A12" s="481" t="s">
        <v>118</v>
      </c>
      <c r="B12" s="13" t="s">
        <v>89</v>
      </c>
      <c r="C12" s="13" t="s">
        <v>90</v>
      </c>
      <c r="D12" s="346">
        <f>D3-2.5</f>
        <v>200</v>
      </c>
      <c r="E12" s="332"/>
      <c r="F12" s="330"/>
      <c r="G12" s="13">
        <f>D5*1</f>
        <v>1</v>
      </c>
      <c r="H12" s="13">
        <v>90</v>
      </c>
      <c r="I12" s="13"/>
      <c r="J12" s="13"/>
      <c r="K12" s="43"/>
    </row>
    <row r="13" spans="1:11" ht="14.4" x14ac:dyDescent="0.3">
      <c r="A13" s="354"/>
      <c r="B13" s="13" t="s">
        <v>91</v>
      </c>
      <c r="C13" s="13" t="s">
        <v>92</v>
      </c>
      <c r="D13" s="346">
        <f>D12:F12</f>
        <v>200</v>
      </c>
      <c r="E13" s="332"/>
      <c r="F13" s="330"/>
      <c r="G13" s="13">
        <f>D5*1</f>
        <v>1</v>
      </c>
      <c r="H13" s="13">
        <v>90</v>
      </c>
      <c r="I13" s="13"/>
      <c r="J13" s="13"/>
      <c r="K13" s="43"/>
    </row>
    <row r="14" spans="1:11" ht="14.4" x14ac:dyDescent="0.3">
      <c r="A14" s="354"/>
      <c r="B14" s="13" t="s">
        <v>93</v>
      </c>
      <c r="C14" s="13" t="s">
        <v>94</v>
      </c>
      <c r="D14" s="346">
        <f>D4/3</f>
        <v>50</v>
      </c>
      <c r="E14" s="332"/>
      <c r="F14" s="330"/>
      <c r="G14" s="13">
        <f>D5*1</f>
        <v>1</v>
      </c>
      <c r="H14" s="13">
        <v>90</v>
      </c>
      <c r="I14" s="13"/>
      <c r="J14" s="13"/>
      <c r="K14" s="43"/>
    </row>
    <row r="15" spans="1:11" ht="14.4" x14ac:dyDescent="0.3">
      <c r="A15" s="342"/>
      <c r="B15" s="13" t="s">
        <v>95</v>
      </c>
      <c r="C15" s="13" t="s">
        <v>96</v>
      </c>
      <c r="D15" s="346">
        <f>D14</f>
        <v>50</v>
      </c>
      <c r="E15" s="332"/>
      <c r="F15" s="330"/>
      <c r="G15" s="13">
        <f>D5*1</f>
        <v>1</v>
      </c>
      <c r="H15" s="13">
        <v>90</v>
      </c>
      <c r="I15" s="13"/>
      <c r="J15" s="13"/>
      <c r="K15" s="14"/>
    </row>
    <row r="16" spans="1:11" ht="14.4" x14ac:dyDescent="0.3">
      <c r="A16" s="481" t="s">
        <v>119</v>
      </c>
      <c r="B16" s="13" t="s">
        <v>91</v>
      </c>
      <c r="C16" s="13" t="s">
        <v>92</v>
      </c>
      <c r="D16" s="346">
        <f>D12:F12</f>
        <v>200</v>
      </c>
      <c r="E16" s="332"/>
      <c r="F16" s="330"/>
      <c r="G16" s="13">
        <f>D5*2</f>
        <v>2</v>
      </c>
      <c r="H16" s="13">
        <v>90</v>
      </c>
      <c r="I16" s="13"/>
      <c r="J16" s="13"/>
      <c r="K16" s="91"/>
    </row>
    <row r="17" spans="1:11" ht="14.4" x14ac:dyDescent="0.3">
      <c r="A17" s="354"/>
      <c r="B17" s="13" t="s">
        <v>120</v>
      </c>
      <c r="C17" s="13" t="s">
        <v>94</v>
      </c>
      <c r="D17" s="346">
        <f>D4/3</f>
        <v>50</v>
      </c>
      <c r="E17" s="332"/>
      <c r="F17" s="330"/>
      <c r="G17" s="13">
        <f>D5*1</f>
        <v>1</v>
      </c>
      <c r="H17" s="13">
        <v>90</v>
      </c>
      <c r="I17" s="13"/>
      <c r="J17" s="13"/>
      <c r="K17" s="91"/>
    </row>
    <row r="18" spans="1:11" ht="14.4" x14ac:dyDescent="0.3">
      <c r="A18" s="354"/>
      <c r="B18" s="13" t="s">
        <v>121</v>
      </c>
      <c r="C18" s="13" t="s">
        <v>122</v>
      </c>
      <c r="D18" s="346">
        <f>D17:F17</f>
        <v>50</v>
      </c>
      <c r="E18" s="332"/>
      <c r="F18" s="330"/>
      <c r="G18" s="13">
        <f>D5*1</f>
        <v>1</v>
      </c>
      <c r="H18" s="13">
        <v>90</v>
      </c>
      <c r="I18" s="13"/>
      <c r="J18" s="13"/>
      <c r="K18" s="91"/>
    </row>
    <row r="19" spans="1:11" ht="14.4" x14ac:dyDescent="0.3">
      <c r="A19" s="342"/>
      <c r="B19" s="13" t="s">
        <v>123</v>
      </c>
      <c r="C19" s="13"/>
      <c r="D19" s="346">
        <f>D12:F12</f>
        <v>200</v>
      </c>
      <c r="E19" s="332"/>
      <c r="F19" s="330"/>
      <c r="G19" s="13">
        <f>D5*1</f>
        <v>1</v>
      </c>
      <c r="H19" s="13">
        <v>90</v>
      </c>
      <c r="I19" s="13"/>
      <c r="J19" s="13"/>
      <c r="K19" s="91"/>
    </row>
    <row r="20" spans="1:11" ht="14.4" x14ac:dyDescent="0.3">
      <c r="A20" s="481" t="s">
        <v>108</v>
      </c>
      <c r="B20" s="13" t="s">
        <v>89</v>
      </c>
      <c r="C20" s="13" t="s">
        <v>90</v>
      </c>
      <c r="D20" s="346">
        <f>D3-2.5</f>
        <v>200</v>
      </c>
      <c r="E20" s="332"/>
      <c r="F20" s="330"/>
      <c r="G20" s="13">
        <f>D5*3</f>
        <v>3</v>
      </c>
      <c r="H20" s="13">
        <v>90</v>
      </c>
      <c r="I20" s="13"/>
      <c r="J20" s="13"/>
      <c r="K20" s="91"/>
    </row>
    <row r="21" spans="1:11" ht="15.75" customHeight="1" x14ac:dyDescent="0.3">
      <c r="A21" s="354"/>
      <c r="B21" s="13" t="s">
        <v>91</v>
      </c>
      <c r="C21" s="13" t="s">
        <v>92</v>
      </c>
      <c r="D21" s="346">
        <f>D3-2.5</f>
        <v>200</v>
      </c>
      <c r="E21" s="332"/>
      <c r="F21" s="330"/>
      <c r="G21" s="13">
        <f>D5*1</f>
        <v>1</v>
      </c>
      <c r="H21" s="13">
        <v>90</v>
      </c>
      <c r="I21" s="92"/>
      <c r="J21" s="13"/>
      <c r="K21" s="14"/>
    </row>
    <row r="22" spans="1:11" ht="15.75" customHeight="1" x14ac:dyDescent="0.25">
      <c r="A22" s="354"/>
      <c r="B22" s="13" t="s">
        <v>93</v>
      </c>
      <c r="C22" s="13" t="s">
        <v>94</v>
      </c>
      <c r="D22" s="346">
        <f>D4/3</f>
        <v>50</v>
      </c>
      <c r="E22" s="332"/>
      <c r="F22" s="330"/>
      <c r="G22" s="13">
        <f>D5*2</f>
        <v>2</v>
      </c>
      <c r="H22" s="13">
        <v>90</v>
      </c>
      <c r="I22" s="93"/>
      <c r="J22" s="71"/>
    </row>
    <row r="23" spans="1:11" ht="15.75" customHeight="1" x14ac:dyDescent="0.25">
      <c r="A23" s="354"/>
      <c r="B23" s="13" t="s">
        <v>95</v>
      </c>
      <c r="C23" s="13" t="s">
        <v>96</v>
      </c>
      <c r="D23" s="346">
        <f>D22</f>
        <v>50</v>
      </c>
      <c r="E23" s="332"/>
      <c r="F23" s="330"/>
      <c r="G23" s="13">
        <f>D5*2</f>
        <v>2</v>
      </c>
      <c r="H23" s="13">
        <v>90</v>
      </c>
      <c r="I23" s="93"/>
      <c r="J23" s="71"/>
    </row>
    <row r="24" spans="1:11" ht="15.75" customHeight="1" x14ac:dyDescent="0.25">
      <c r="A24" s="354"/>
      <c r="B24" s="13"/>
      <c r="C24" s="13"/>
      <c r="D24" s="346"/>
      <c r="E24" s="332"/>
      <c r="F24" s="330"/>
      <c r="G24" s="13"/>
      <c r="H24" s="13"/>
      <c r="I24" s="93"/>
      <c r="J24" s="71"/>
    </row>
    <row r="25" spans="1:11" ht="15.75" customHeight="1" x14ac:dyDescent="0.25">
      <c r="A25" s="342"/>
      <c r="B25" s="13"/>
      <c r="C25" s="13"/>
      <c r="D25" s="346"/>
      <c r="E25" s="332"/>
      <c r="F25" s="330"/>
      <c r="G25" s="13"/>
      <c r="H25" s="13"/>
      <c r="I25" s="93"/>
      <c r="J25" s="71"/>
    </row>
    <row r="26" spans="1:11" ht="15.75" customHeight="1" x14ac:dyDescent="0.25">
      <c r="A26" s="341" t="s">
        <v>39</v>
      </c>
      <c r="B26" s="359" t="s">
        <v>112</v>
      </c>
      <c r="C26" s="341"/>
      <c r="D26" s="486" t="s">
        <v>3</v>
      </c>
      <c r="E26" s="487" t="s">
        <v>41</v>
      </c>
      <c r="F26" s="336"/>
      <c r="G26" s="485"/>
      <c r="H26" s="485"/>
      <c r="I26" s="93"/>
      <c r="J26" s="71"/>
    </row>
    <row r="27" spans="1:11" ht="15.75" customHeight="1" x14ac:dyDescent="0.25">
      <c r="A27" s="354"/>
      <c r="B27" s="342"/>
      <c r="C27" s="342"/>
      <c r="D27" s="342"/>
      <c r="E27" s="337"/>
      <c r="F27" s="339"/>
      <c r="G27" s="342"/>
      <c r="H27" s="354"/>
      <c r="I27" s="93"/>
      <c r="J27" s="71"/>
    </row>
    <row r="28" spans="1:11" ht="15.75" customHeight="1" x14ac:dyDescent="0.25">
      <c r="A28" s="354"/>
      <c r="B28" s="94" t="s">
        <v>113</v>
      </c>
      <c r="C28" s="95"/>
      <c r="D28" s="19">
        <f>D12-7</f>
        <v>193</v>
      </c>
      <c r="E28" s="357">
        <f>D14-5.5</f>
        <v>44.5</v>
      </c>
      <c r="F28" s="330"/>
      <c r="G28" s="18">
        <f>D5*1</f>
        <v>1</v>
      </c>
      <c r="H28" s="354"/>
      <c r="I28" s="482"/>
      <c r="J28" s="71"/>
    </row>
    <row r="29" spans="1:11" ht="15.75" customHeight="1" x14ac:dyDescent="0.25">
      <c r="A29" s="354"/>
      <c r="B29" s="94" t="s">
        <v>124</v>
      </c>
      <c r="C29" s="94"/>
      <c r="D29" s="19">
        <f>D20-7</f>
        <v>193</v>
      </c>
      <c r="E29" s="357">
        <f>D22-7.3</f>
        <v>42.7</v>
      </c>
      <c r="F29" s="330"/>
      <c r="G29" s="18">
        <f>D5*1</f>
        <v>1</v>
      </c>
      <c r="H29" s="354"/>
      <c r="I29" s="327"/>
      <c r="J29" s="71"/>
    </row>
    <row r="30" spans="1:11" ht="15.75" customHeight="1" x14ac:dyDescent="0.25">
      <c r="A30" s="342"/>
      <c r="B30" s="94" t="s">
        <v>125</v>
      </c>
      <c r="C30" s="94"/>
      <c r="D30" s="19">
        <f>D20-7</f>
        <v>193</v>
      </c>
      <c r="E30" s="357">
        <f>D22-5.5</f>
        <v>44.5</v>
      </c>
      <c r="F30" s="330"/>
      <c r="G30" s="18">
        <f>D5*1</f>
        <v>1</v>
      </c>
      <c r="H30" s="342"/>
      <c r="I30" s="327"/>
      <c r="J30" s="71"/>
    </row>
    <row r="31" spans="1:11" ht="15.75" customHeight="1" x14ac:dyDescent="0.25">
      <c r="A31" s="13" t="s">
        <v>42</v>
      </c>
      <c r="B31" s="13">
        <v>744</v>
      </c>
      <c r="C31" s="13"/>
      <c r="D31" s="346"/>
      <c r="E31" s="332"/>
      <c r="F31" s="330"/>
      <c r="G31" s="13">
        <f>(D28*6)+(E28*6)*D5</f>
        <v>1425</v>
      </c>
      <c r="H31" s="13" t="s">
        <v>43</v>
      </c>
      <c r="I31" s="93"/>
      <c r="J31" s="71"/>
    </row>
    <row r="32" spans="1:11" ht="15.75" customHeight="1" x14ac:dyDescent="0.25">
      <c r="A32" s="481" t="s">
        <v>44</v>
      </c>
      <c r="B32" s="13" t="s">
        <v>45</v>
      </c>
      <c r="C32" s="13"/>
      <c r="D32" s="333"/>
      <c r="E32" s="332"/>
      <c r="F32" s="330"/>
      <c r="G32" s="13">
        <f>D5*16</f>
        <v>16</v>
      </c>
      <c r="H32" s="13"/>
      <c r="I32" s="482"/>
      <c r="J32" s="71"/>
    </row>
    <row r="33" spans="1:10" ht="15.75" customHeight="1" x14ac:dyDescent="0.25">
      <c r="A33" s="354"/>
      <c r="B33" s="13" t="s">
        <v>116</v>
      </c>
      <c r="C33" s="13"/>
      <c r="D33" s="333"/>
      <c r="E33" s="332"/>
      <c r="F33" s="330"/>
      <c r="G33" s="13">
        <f>D5*10</f>
        <v>10</v>
      </c>
      <c r="H33" s="13"/>
      <c r="I33" s="327"/>
      <c r="J33" s="71"/>
    </row>
    <row r="34" spans="1:10" ht="15.75" customHeight="1" x14ac:dyDescent="0.25">
      <c r="A34" s="342"/>
      <c r="B34" s="13" t="s">
        <v>100</v>
      </c>
      <c r="C34" s="13"/>
      <c r="D34" s="333"/>
      <c r="E34" s="332"/>
      <c r="F34" s="330"/>
      <c r="G34" s="13">
        <f>D5*6</f>
        <v>6</v>
      </c>
      <c r="H34" s="13"/>
      <c r="I34" s="327"/>
      <c r="J34" s="71"/>
    </row>
    <row r="35" spans="1:10" ht="15.75" customHeight="1" x14ac:dyDescent="0.25">
      <c r="A35" s="13" t="s">
        <v>70</v>
      </c>
      <c r="B35" s="13" t="s">
        <v>101</v>
      </c>
      <c r="C35" s="13"/>
      <c r="D35" s="333"/>
      <c r="E35" s="332"/>
      <c r="F35" s="330"/>
      <c r="G35" s="13">
        <f>D5*10</f>
        <v>10</v>
      </c>
      <c r="H35" s="13"/>
      <c r="I35" s="93"/>
      <c r="J35" s="71"/>
    </row>
    <row r="36" spans="1:10" ht="15.75" customHeight="1" x14ac:dyDescent="0.25">
      <c r="A36" s="15" t="s">
        <v>80</v>
      </c>
      <c r="B36" s="13" t="s">
        <v>102</v>
      </c>
      <c r="C36" s="13"/>
      <c r="D36" s="333"/>
      <c r="E36" s="332"/>
      <c r="F36" s="330"/>
      <c r="G36" s="13">
        <f>D5*2</f>
        <v>2</v>
      </c>
      <c r="H36" s="13"/>
      <c r="I36" s="93"/>
      <c r="J36" s="71"/>
    </row>
    <row r="37" spans="1:10" ht="15.75" customHeight="1" x14ac:dyDescent="0.25">
      <c r="A37" s="481" t="s">
        <v>53</v>
      </c>
      <c r="B37" s="13" t="s">
        <v>103</v>
      </c>
      <c r="C37" s="13"/>
      <c r="D37" s="333"/>
      <c r="E37" s="332"/>
      <c r="F37" s="330"/>
      <c r="G37" s="13">
        <f>D5*2</f>
        <v>2</v>
      </c>
      <c r="H37" s="13"/>
      <c r="I37" s="482"/>
      <c r="J37" s="71"/>
    </row>
    <row r="38" spans="1:10" ht="15.75" customHeight="1" x14ac:dyDescent="0.25">
      <c r="A38" s="342"/>
      <c r="B38" s="13" t="s">
        <v>104</v>
      </c>
      <c r="C38" s="13"/>
      <c r="D38" s="333"/>
      <c r="E38" s="332"/>
      <c r="F38" s="330"/>
      <c r="G38" s="13">
        <f>D5*2</f>
        <v>2</v>
      </c>
      <c r="H38" s="13"/>
      <c r="I38" s="327"/>
      <c r="J38" s="71"/>
    </row>
    <row r="39" spans="1:10" ht="15.75" customHeight="1" x14ac:dyDescent="0.25">
      <c r="A39" s="13" t="s">
        <v>54</v>
      </c>
      <c r="B39" s="13" t="s">
        <v>105</v>
      </c>
      <c r="C39" s="13"/>
      <c r="D39" s="333"/>
      <c r="E39" s="332"/>
      <c r="F39" s="330"/>
      <c r="G39" s="13">
        <f>D5*2</f>
        <v>2</v>
      </c>
      <c r="H39" s="13"/>
      <c r="I39" s="93"/>
      <c r="J39" s="71"/>
    </row>
    <row r="40" spans="1:10" ht="15.75" customHeight="1" x14ac:dyDescent="0.3">
      <c r="A40" s="331" t="s">
        <v>56</v>
      </c>
      <c r="B40" s="330"/>
      <c r="C40" s="331"/>
      <c r="D40" s="332"/>
      <c r="E40" s="332"/>
      <c r="F40" s="332"/>
      <c r="G40" s="332"/>
      <c r="H40" s="330"/>
      <c r="I40" s="93"/>
      <c r="J40" s="71"/>
    </row>
    <row r="41" spans="1:10" ht="15.75" customHeight="1" x14ac:dyDescent="0.3">
      <c r="A41" s="331" t="s">
        <v>57</v>
      </c>
      <c r="B41" s="330"/>
      <c r="C41" s="331"/>
      <c r="D41" s="332"/>
      <c r="E41" s="332"/>
      <c r="F41" s="332"/>
      <c r="G41" s="332"/>
      <c r="H41" s="330"/>
      <c r="I41" s="93"/>
      <c r="J41" s="71"/>
    </row>
    <row r="42" spans="1:10" ht="18" customHeight="1" x14ac:dyDescent="0.25">
      <c r="A42" s="334" t="s">
        <v>58</v>
      </c>
      <c r="B42" s="335"/>
      <c r="C42" s="335"/>
      <c r="D42" s="335"/>
      <c r="E42" s="336"/>
      <c r="F42" s="334" t="s">
        <v>59</v>
      </c>
      <c r="G42" s="335"/>
      <c r="H42" s="336"/>
      <c r="I42" s="93"/>
      <c r="J42" s="71"/>
    </row>
    <row r="43" spans="1:10" ht="18" customHeight="1" x14ac:dyDescent="0.25">
      <c r="A43" s="337"/>
      <c r="B43" s="338"/>
      <c r="C43" s="338"/>
      <c r="D43" s="338"/>
      <c r="E43" s="339"/>
      <c r="F43" s="337"/>
      <c r="G43" s="338"/>
      <c r="H43" s="339"/>
      <c r="I43" s="93"/>
      <c r="J43" s="71"/>
    </row>
    <row r="44" spans="1:10" ht="15.75" customHeight="1" x14ac:dyDescent="0.35">
      <c r="A44" s="80"/>
      <c r="B44" s="81"/>
      <c r="C44" s="484"/>
      <c r="D44" s="327"/>
      <c r="E44" s="327"/>
      <c r="F44" s="327"/>
      <c r="G44" s="71"/>
      <c r="H44" s="81"/>
      <c r="I44" s="71"/>
      <c r="J44" s="71"/>
    </row>
    <row r="45" spans="1:10" ht="15.75" customHeight="1" x14ac:dyDescent="0.35">
      <c r="A45" s="80"/>
      <c r="B45" s="81"/>
      <c r="C45" s="71"/>
      <c r="D45" s="71"/>
      <c r="E45" s="71"/>
      <c r="F45" s="71"/>
      <c r="G45" s="71"/>
      <c r="H45" s="81"/>
      <c r="I45" s="71"/>
      <c r="J45" s="71"/>
    </row>
    <row r="46" spans="1:10" ht="15.75" customHeight="1" x14ac:dyDescent="0.35">
      <c r="A46" s="80"/>
      <c r="B46" s="81"/>
      <c r="C46" s="71"/>
      <c r="D46" s="71"/>
      <c r="E46" s="71"/>
      <c r="F46" s="71"/>
      <c r="G46" s="71"/>
      <c r="H46" s="81"/>
      <c r="I46" s="71"/>
      <c r="J46" s="71"/>
    </row>
    <row r="47" spans="1:10" ht="15.75" customHeight="1" x14ac:dyDescent="0.35">
      <c r="A47" s="80"/>
      <c r="B47" s="81"/>
      <c r="C47" s="71"/>
      <c r="D47" s="71"/>
      <c r="E47" s="71"/>
      <c r="F47" s="71"/>
      <c r="G47" s="82"/>
      <c r="H47" s="81"/>
      <c r="I47" s="71"/>
      <c r="J47" s="71"/>
    </row>
    <row r="48" spans="1:10" ht="15.75" customHeight="1" x14ac:dyDescent="0.35">
      <c r="A48" s="80"/>
      <c r="B48" s="81"/>
      <c r="C48" s="71"/>
      <c r="D48" s="71"/>
      <c r="E48" s="71"/>
      <c r="F48" s="483"/>
      <c r="G48" s="327"/>
      <c r="H48" s="81"/>
      <c r="I48" s="71"/>
      <c r="J48" s="71"/>
    </row>
    <row r="49" spans="1:10" ht="15.75" customHeight="1" x14ac:dyDescent="0.35">
      <c r="A49" s="80"/>
      <c r="B49" s="81"/>
      <c r="C49" s="71"/>
      <c r="D49" s="71"/>
      <c r="E49" s="71"/>
      <c r="F49" s="71"/>
      <c r="G49" s="71"/>
      <c r="H49" s="81"/>
      <c r="I49" s="71"/>
      <c r="J49" s="71"/>
    </row>
    <row r="50" spans="1:10" ht="15.75" customHeight="1" x14ac:dyDescent="0.35">
      <c r="A50" s="80"/>
      <c r="B50" s="81"/>
      <c r="C50" s="484"/>
      <c r="D50" s="327"/>
      <c r="E50" s="327"/>
      <c r="F50" s="327"/>
      <c r="G50" s="71"/>
      <c r="H50" s="81"/>
      <c r="I50" s="71"/>
      <c r="J50" s="71"/>
    </row>
    <row r="51" spans="1:10" ht="15.75" customHeight="1" x14ac:dyDescent="0.35">
      <c r="A51" s="80"/>
      <c r="B51" s="81"/>
      <c r="C51" s="81"/>
      <c r="D51" s="81"/>
      <c r="E51" s="71"/>
      <c r="F51" s="71"/>
      <c r="G51" s="71"/>
      <c r="H51" s="81"/>
      <c r="I51" s="71"/>
      <c r="J51" s="71"/>
    </row>
    <row r="52" spans="1:10" ht="15.75" customHeight="1" x14ac:dyDescent="0.3"/>
    <row r="53" spans="1:10" ht="15.75" customHeight="1" x14ac:dyDescent="0.3"/>
    <row r="54" spans="1:10" ht="15.75" customHeight="1" x14ac:dyDescent="0.3"/>
    <row r="55" spans="1:10" ht="15.75" customHeight="1" x14ac:dyDescent="0.4">
      <c r="B55" s="328"/>
      <c r="C55" s="327"/>
      <c r="D55" s="327"/>
      <c r="E55" s="327"/>
    </row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</sheetData>
  <mergeCells count="70">
    <mergeCell ref="A16:A19"/>
    <mergeCell ref="A12:A15"/>
    <mergeCell ref="A9:A11"/>
    <mergeCell ref="A8:B8"/>
    <mergeCell ref="A6:B6"/>
    <mergeCell ref="A7:B7"/>
    <mergeCell ref="I32:I34"/>
    <mergeCell ref="I28:I30"/>
    <mergeCell ref="I37:I38"/>
    <mergeCell ref="A26:A30"/>
    <mergeCell ref="A41:B41"/>
    <mergeCell ref="A40:B40"/>
    <mergeCell ref="A37:A38"/>
    <mergeCell ref="A32:A34"/>
    <mergeCell ref="H26:H30"/>
    <mergeCell ref="D20:F20"/>
    <mergeCell ref="D22:F22"/>
    <mergeCell ref="C26:C27"/>
    <mergeCell ref="D26:D27"/>
    <mergeCell ref="D21:F21"/>
    <mergeCell ref="D24:F24"/>
    <mergeCell ref="D25:F25"/>
    <mergeCell ref="C50:F50"/>
    <mergeCell ref="F48:G48"/>
    <mergeCell ref="B55:E55"/>
    <mergeCell ref="A42:E43"/>
    <mergeCell ref="E26:F27"/>
    <mergeCell ref="E28:F28"/>
    <mergeCell ref="E29:F29"/>
    <mergeCell ref="G26:G27"/>
    <mergeCell ref="B26:B27"/>
    <mergeCell ref="A20:A25"/>
    <mergeCell ref="C44:F44"/>
    <mergeCell ref="E30:F30"/>
    <mergeCell ref="D34:F34"/>
    <mergeCell ref="D33:F33"/>
    <mergeCell ref="D32:F32"/>
    <mergeCell ref="D31:F31"/>
    <mergeCell ref="D38:F38"/>
    <mergeCell ref="D39:F39"/>
    <mergeCell ref="D36:F36"/>
    <mergeCell ref="D35:F35"/>
    <mergeCell ref="F42:H43"/>
    <mergeCell ref="C40:H40"/>
    <mergeCell ref="C41:H41"/>
    <mergeCell ref="D37:F37"/>
    <mergeCell ref="D23:F23"/>
    <mergeCell ref="A2:H2"/>
    <mergeCell ref="D12:F12"/>
    <mergeCell ref="D10:F10"/>
    <mergeCell ref="D11:F11"/>
    <mergeCell ref="A1:H1"/>
    <mergeCell ref="A5:C5"/>
    <mergeCell ref="C6:H6"/>
    <mergeCell ref="E5:H5"/>
    <mergeCell ref="C7:H7"/>
    <mergeCell ref="A4:C4"/>
    <mergeCell ref="E4:H4"/>
    <mergeCell ref="A3:C3"/>
    <mergeCell ref="E3:H3"/>
    <mergeCell ref="I7:K7"/>
    <mergeCell ref="D19:F19"/>
    <mergeCell ref="D16:F16"/>
    <mergeCell ref="D15:F15"/>
    <mergeCell ref="D18:F18"/>
    <mergeCell ref="D17:F17"/>
    <mergeCell ref="D13:F13"/>
    <mergeCell ref="D14:F14"/>
    <mergeCell ref="D9:F9"/>
    <mergeCell ref="D8:F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workbookViewId="0">
      <selection sqref="A1:H1"/>
    </sheetView>
  </sheetViews>
  <sheetFormatPr baseColWidth="10" defaultColWidth="14.44140625" defaultRowHeight="15" customHeight="1" x14ac:dyDescent="0.3"/>
  <cols>
    <col min="1" max="1" width="21.33203125" customWidth="1"/>
    <col min="2" max="2" width="23.6640625" customWidth="1"/>
    <col min="3" max="3" width="14" customWidth="1"/>
    <col min="4" max="4" width="15.44140625" customWidth="1"/>
    <col min="5" max="5" width="8.5546875" customWidth="1"/>
    <col min="6" max="6" width="2.5546875" customWidth="1"/>
    <col min="7" max="7" width="8.5546875" customWidth="1"/>
    <col min="8" max="8" width="11" customWidth="1"/>
    <col min="9" max="9" width="18.88671875" customWidth="1"/>
    <col min="10" max="10" width="20.5546875" customWidth="1"/>
    <col min="11" max="11" width="19.44140625" customWidth="1"/>
  </cols>
  <sheetData>
    <row r="1" spans="1:11" ht="22.8" x14ac:dyDescent="0.4">
      <c r="A1" s="344"/>
      <c r="B1" s="332"/>
      <c r="C1" s="332"/>
      <c r="D1" s="332"/>
      <c r="E1" s="332"/>
      <c r="F1" s="332"/>
      <c r="G1" s="332"/>
      <c r="H1" s="330"/>
      <c r="I1" s="86"/>
      <c r="J1" s="71"/>
    </row>
    <row r="2" spans="1:11" ht="20.399999999999999" x14ac:dyDescent="0.35">
      <c r="A2" s="488" t="s">
        <v>126</v>
      </c>
      <c r="B2" s="332"/>
      <c r="C2" s="332"/>
      <c r="D2" s="332"/>
      <c r="E2" s="332"/>
      <c r="F2" s="332"/>
      <c r="G2" s="332"/>
      <c r="H2" s="330"/>
      <c r="I2" s="87"/>
      <c r="J2" s="71"/>
    </row>
    <row r="3" spans="1:11" ht="21" x14ac:dyDescent="0.4">
      <c r="A3" s="331" t="s">
        <v>3</v>
      </c>
      <c r="B3" s="332"/>
      <c r="C3" s="330"/>
      <c r="D3" s="37">
        <v>130</v>
      </c>
      <c r="E3" s="489" t="s">
        <v>4</v>
      </c>
      <c r="F3" s="332"/>
      <c r="G3" s="332"/>
      <c r="H3" s="330"/>
      <c r="I3" s="72"/>
      <c r="J3" s="71"/>
    </row>
    <row r="4" spans="1:11" ht="20.25" customHeight="1" x14ac:dyDescent="0.4">
      <c r="A4" s="373" t="s">
        <v>6</v>
      </c>
      <c r="B4" s="332"/>
      <c r="C4" s="330"/>
      <c r="D4" s="37">
        <v>384</v>
      </c>
      <c r="E4" s="489" t="s">
        <v>4</v>
      </c>
      <c r="F4" s="332"/>
      <c r="G4" s="332"/>
      <c r="H4" s="330"/>
      <c r="I4" s="72"/>
      <c r="J4" s="71"/>
    </row>
    <row r="5" spans="1:11" ht="20.25" customHeight="1" x14ac:dyDescent="0.4">
      <c r="A5" s="373" t="s">
        <v>7</v>
      </c>
      <c r="B5" s="332"/>
      <c r="C5" s="330"/>
      <c r="D5" s="88">
        <v>1</v>
      </c>
      <c r="E5" s="345"/>
      <c r="F5" s="332"/>
      <c r="G5" s="332"/>
      <c r="H5" s="330"/>
      <c r="I5" s="89"/>
      <c r="J5" s="71"/>
    </row>
    <row r="6" spans="1:11" ht="21" x14ac:dyDescent="0.4">
      <c r="A6" s="345" t="s">
        <v>72</v>
      </c>
      <c r="B6" s="330"/>
      <c r="C6" s="345"/>
      <c r="D6" s="332"/>
      <c r="E6" s="332"/>
      <c r="F6" s="332"/>
      <c r="G6" s="332"/>
      <c r="H6" s="330"/>
      <c r="J6" s="71"/>
    </row>
    <row r="7" spans="1:11" ht="21" x14ac:dyDescent="0.4">
      <c r="A7" s="345" t="s">
        <v>9</v>
      </c>
      <c r="B7" s="330"/>
      <c r="C7" s="345"/>
      <c r="D7" s="332"/>
      <c r="E7" s="332"/>
      <c r="F7" s="332"/>
      <c r="G7" s="332"/>
      <c r="H7" s="330"/>
      <c r="I7" s="366"/>
      <c r="J7" s="332"/>
      <c r="K7" s="330"/>
    </row>
    <row r="8" spans="1:11" ht="24" x14ac:dyDescent="0.4">
      <c r="A8" s="373" t="s">
        <v>61</v>
      </c>
      <c r="B8" s="330"/>
      <c r="C8" s="60" t="s">
        <v>11</v>
      </c>
      <c r="D8" s="409" t="s">
        <v>12</v>
      </c>
      <c r="E8" s="332"/>
      <c r="F8" s="330"/>
      <c r="G8" s="90" t="s">
        <v>13</v>
      </c>
      <c r="H8" s="62" t="s">
        <v>107</v>
      </c>
      <c r="I8" s="41"/>
      <c r="J8" s="41"/>
      <c r="K8" s="41"/>
    </row>
    <row r="9" spans="1:11" ht="14.4" x14ac:dyDescent="0.3">
      <c r="A9" s="362" t="s">
        <v>19</v>
      </c>
      <c r="B9" s="13" t="s">
        <v>20</v>
      </c>
      <c r="C9" s="13" t="s">
        <v>85</v>
      </c>
      <c r="D9" s="346">
        <f>D4</f>
        <v>384</v>
      </c>
      <c r="E9" s="332"/>
      <c r="F9" s="330"/>
      <c r="G9" s="13">
        <f>D5*1</f>
        <v>1</v>
      </c>
      <c r="H9" s="13">
        <v>90</v>
      </c>
      <c r="I9" s="13"/>
      <c r="J9" s="13"/>
      <c r="K9" s="43"/>
    </row>
    <row r="10" spans="1:11" ht="14.4" x14ac:dyDescent="0.3">
      <c r="A10" s="354"/>
      <c r="B10" s="13" t="s">
        <v>23</v>
      </c>
      <c r="C10" s="13" t="s">
        <v>86</v>
      </c>
      <c r="D10" s="346">
        <f>D4</f>
        <v>384</v>
      </c>
      <c r="E10" s="332"/>
      <c r="F10" s="330"/>
      <c r="G10" s="13">
        <f>D5*1</f>
        <v>1</v>
      </c>
      <c r="H10" s="13">
        <v>90</v>
      </c>
      <c r="I10" s="13"/>
      <c r="J10" s="13"/>
      <c r="K10" s="43"/>
    </row>
    <row r="11" spans="1:11" ht="14.4" x14ac:dyDescent="0.3">
      <c r="A11" s="342"/>
      <c r="B11" s="13" t="s">
        <v>26</v>
      </c>
      <c r="C11" s="13" t="s">
        <v>87</v>
      </c>
      <c r="D11" s="346">
        <f>D3-1.5</f>
        <v>128.5</v>
      </c>
      <c r="E11" s="332"/>
      <c r="F11" s="330"/>
      <c r="G11" s="13">
        <f>D5*2</f>
        <v>2</v>
      </c>
      <c r="H11" s="13">
        <v>90</v>
      </c>
      <c r="I11" s="13"/>
      <c r="J11" s="13"/>
      <c r="K11" s="43"/>
    </row>
    <row r="12" spans="1:11" ht="14.4" x14ac:dyDescent="0.3">
      <c r="A12" s="481" t="s">
        <v>66</v>
      </c>
      <c r="B12" s="13" t="s">
        <v>89</v>
      </c>
      <c r="C12" s="13" t="s">
        <v>90</v>
      </c>
      <c r="D12" s="346">
        <f>D3-2.5</f>
        <v>127.5</v>
      </c>
      <c r="E12" s="332"/>
      <c r="F12" s="330"/>
      <c r="G12" s="13">
        <f>D5*2</f>
        <v>2</v>
      </c>
      <c r="H12" s="13">
        <v>90</v>
      </c>
      <c r="I12" s="13"/>
      <c r="J12" s="13"/>
      <c r="K12" s="43"/>
    </row>
    <row r="13" spans="1:11" ht="14.4" x14ac:dyDescent="0.3">
      <c r="A13" s="354"/>
      <c r="B13" s="13"/>
      <c r="C13" s="13"/>
      <c r="D13" s="346"/>
      <c r="E13" s="332"/>
      <c r="F13" s="330"/>
      <c r="G13" s="13"/>
      <c r="H13" s="13"/>
      <c r="I13" s="13"/>
      <c r="J13" s="13"/>
      <c r="K13" s="43"/>
    </row>
    <row r="14" spans="1:11" ht="14.4" x14ac:dyDescent="0.3">
      <c r="A14" s="354"/>
      <c r="B14" s="13" t="s">
        <v>93</v>
      </c>
      <c r="C14" s="13" t="s">
        <v>94</v>
      </c>
      <c r="D14" s="346">
        <f>D4/2+4</f>
        <v>196</v>
      </c>
      <c r="E14" s="332"/>
      <c r="F14" s="330"/>
      <c r="G14" s="13">
        <f>D5*1</f>
        <v>1</v>
      </c>
      <c r="H14" s="13">
        <v>90</v>
      </c>
      <c r="I14" s="13"/>
      <c r="J14" s="13"/>
      <c r="K14" s="43"/>
    </row>
    <row r="15" spans="1:11" ht="14.4" x14ac:dyDescent="0.3">
      <c r="A15" s="342"/>
      <c r="B15" s="13" t="s">
        <v>95</v>
      </c>
      <c r="C15" s="13" t="s">
        <v>96</v>
      </c>
      <c r="D15" s="346">
        <f>D14</f>
        <v>196</v>
      </c>
      <c r="E15" s="332"/>
      <c r="F15" s="330"/>
      <c r="G15" s="13">
        <f>D5*1</f>
        <v>1</v>
      </c>
      <c r="H15" s="13">
        <v>90</v>
      </c>
      <c r="I15" s="13"/>
      <c r="J15" s="13"/>
      <c r="K15" s="14"/>
    </row>
    <row r="16" spans="1:11" ht="14.4" x14ac:dyDescent="0.3">
      <c r="A16" s="481" t="s">
        <v>108</v>
      </c>
      <c r="B16" s="13" t="s">
        <v>89</v>
      </c>
      <c r="C16" s="13" t="s">
        <v>90</v>
      </c>
      <c r="D16" s="346">
        <f>D3-2.5</f>
        <v>127.5</v>
      </c>
      <c r="E16" s="332"/>
      <c r="F16" s="330"/>
      <c r="G16" s="13">
        <f>D5*2</f>
        <v>2</v>
      </c>
      <c r="H16" s="13">
        <v>90</v>
      </c>
      <c r="I16" s="13"/>
      <c r="J16" s="13"/>
      <c r="K16" s="91"/>
    </row>
    <row r="17" spans="1:11" ht="14.4" x14ac:dyDescent="0.3">
      <c r="A17" s="354"/>
      <c r="B17" s="13" t="s">
        <v>91</v>
      </c>
      <c r="C17" s="13" t="s">
        <v>92</v>
      </c>
      <c r="D17" s="346">
        <f>D3-2.5</f>
        <v>127.5</v>
      </c>
      <c r="E17" s="332"/>
      <c r="F17" s="330"/>
      <c r="G17" s="13">
        <f>D5*2</f>
        <v>2</v>
      </c>
      <c r="H17" s="13">
        <v>90</v>
      </c>
      <c r="I17" s="92"/>
      <c r="J17" s="13"/>
      <c r="K17" s="14"/>
    </row>
    <row r="18" spans="1:11" ht="14.4" x14ac:dyDescent="0.25">
      <c r="A18" s="354"/>
      <c r="B18" s="13" t="s">
        <v>93</v>
      </c>
      <c r="C18" s="13" t="s">
        <v>94</v>
      </c>
      <c r="D18" s="346">
        <f>D4/4</f>
        <v>96</v>
      </c>
      <c r="E18" s="332"/>
      <c r="F18" s="330"/>
      <c r="G18" s="13">
        <f>D5*2</f>
        <v>2</v>
      </c>
      <c r="H18" s="13">
        <v>90</v>
      </c>
      <c r="I18" s="93"/>
      <c r="J18" s="71"/>
    </row>
    <row r="19" spans="1:11" ht="14.4" x14ac:dyDescent="0.25">
      <c r="A19" s="354"/>
      <c r="B19" s="13" t="s">
        <v>95</v>
      </c>
      <c r="C19" s="13" t="s">
        <v>96</v>
      </c>
      <c r="D19" s="346">
        <f>D18</f>
        <v>96</v>
      </c>
      <c r="E19" s="332"/>
      <c r="F19" s="330"/>
      <c r="G19" s="13">
        <f>D5*2</f>
        <v>2</v>
      </c>
      <c r="H19" s="13">
        <v>90</v>
      </c>
      <c r="I19" s="93"/>
      <c r="J19" s="71"/>
    </row>
    <row r="20" spans="1:11" ht="14.4" x14ac:dyDescent="0.25">
      <c r="A20" s="354"/>
      <c r="B20" s="13"/>
      <c r="C20" s="13"/>
      <c r="D20" s="346"/>
      <c r="E20" s="332"/>
      <c r="F20" s="330"/>
      <c r="G20" s="13"/>
      <c r="H20" s="13"/>
      <c r="I20" s="93"/>
      <c r="J20" s="71"/>
    </row>
    <row r="21" spans="1:11" ht="15.75" customHeight="1" x14ac:dyDescent="0.25">
      <c r="A21" s="342"/>
      <c r="B21" s="13"/>
      <c r="C21" s="13"/>
      <c r="D21" s="346"/>
      <c r="E21" s="332"/>
      <c r="F21" s="330"/>
      <c r="G21" s="13"/>
      <c r="H21" s="13"/>
      <c r="I21" s="93"/>
      <c r="J21" s="71"/>
    </row>
    <row r="22" spans="1:11" ht="15.75" customHeight="1" x14ac:dyDescent="0.25">
      <c r="A22" s="341" t="s">
        <v>39</v>
      </c>
      <c r="B22" s="359" t="s">
        <v>112</v>
      </c>
      <c r="C22" s="341"/>
      <c r="D22" s="486" t="s">
        <v>3</v>
      </c>
      <c r="E22" s="487" t="s">
        <v>41</v>
      </c>
      <c r="F22" s="336"/>
      <c r="G22" s="485"/>
      <c r="H22" s="485"/>
      <c r="I22" s="93"/>
      <c r="J22" s="71"/>
    </row>
    <row r="23" spans="1:11" ht="15.75" customHeight="1" x14ac:dyDescent="0.25">
      <c r="A23" s="354"/>
      <c r="B23" s="342"/>
      <c r="C23" s="342"/>
      <c r="D23" s="342"/>
      <c r="E23" s="337"/>
      <c r="F23" s="339"/>
      <c r="G23" s="342"/>
      <c r="H23" s="354"/>
      <c r="I23" s="93"/>
      <c r="J23" s="71"/>
    </row>
    <row r="24" spans="1:11" ht="15.75" customHeight="1" x14ac:dyDescent="0.25">
      <c r="A24" s="354"/>
      <c r="B24" s="94" t="s">
        <v>113</v>
      </c>
      <c r="C24" s="95"/>
      <c r="D24" s="19">
        <f>D3-9</f>
        <v>121</v>
      </c>
      <c r="E24" s="357">
        <f>(D4/2)-1.5</f>
        <v>190.5</v>
      </c>
      <c r="F24" s="330"/>
      <c r="G24" s="18">
        <f>D5*1</f>
        <v>1</v>
      </c>
      <c r="H24" s="354"/>
      <c r="I24" s="482"/>
      <c r="J24" s="71"/>
    </row>
    <row r="25" spans="1:11" ht="15.75" customHeight="1" x14ac:dyDescent="0.25">
      <c r="A25" s="354"/>
      <c r="B25" s="94" t="s">
        <v>127</v>
      </c>
      <c r="C25" s="94"/>
      <c r="D25" s="19">
        <f>D3-9</f>
        <v>121</v>
      </c>
      <c r="E25" s="357">
        <f>(D4/4)-5.8</f>
        <v>90.2</v>
      </c>
      <c r="F25" s="330"/>
      <c r="G25" s="18">
        <f>D5*1</f>
        <v>1</v>
      </c>
      <c r="H25" s="354"/>
      <c r="I25" s="327"/>
      <c r="J25" s="71"/>
    </row>
    <row r="26" spans="1:11" ht="15.75" customHeight="1" x14ac:dyDescent="0.25">
      <c r="A26" s="342"/>
      <c r="B26" s="94"/>
      <c r="C26" s="94"/>
      <c r="D26" s="19"/>
      <c r="E26" s="357"/>
      <c r="F26" s="330"/>
      <c r="G26" s="18"/>
      <c r="H26" s="342"/>
      <c r="I26" s="327"/>
      <c r="J26" s="71"/>
    </row>
    <row r="27" spans="1:11" ht="15.75" customHeight="1" x14ac:dyDescent="0.25">
      <c r="A27" s="13" t="s">
        <v>42</v>
      </c>
      <c r="B27" s="13">
        <v>744</v>
      </c>
      <c r="C27" s="13"/>
      <c r="D27" s="346"/>
      <c r="E27" s="332"/>
      <c r="F27" s="330"/>
      <c r="G27" s="13">
        <f>(D24*6)+(E24*6)*D5</f>
        <v>1869</v>
      </c>
      <c r="H27" s="13" t="s">
        <v>43</v>
      </c>
      <c r="I27" s="93"/>
      <c r="J27" s="71"/>
    </row>
    <row r="28" spans="1:11" ht="15.75" customHeight="1" x14ac:dyDescent="0.25">
      <c r="A28" s="481" t="s">
        <v>44</v>
      </c>
      <c r="B28" s="13" t="s">
        <v>45</v>
      </c>
      <c r="C28" s="13"/>
      <c r="D28" s="333"/>
      <c r="E28" s="332"/>
      <c r="F28" s="330"/>
      <c r="G28" s="13">
        <f>D5*16</f>
        <v>16</v>
      </c>
      <c r="H28" s="13"/>
      <c r="I28" s="482"/>
      <c r="J28" s="71"/>
    </row>
    <row r="29" spans="1:11" ht="15.75" customHeight="1" x14ac:dyDescent="0.25">
      <c r="A29" s="354"/>
      <c r="B29" s="13" t="s">
        <v>116</v>
      </c>
      <c r="C29" s="13"/>
      <c r="D29" s="333"/>
      <c r="E29" s="332"/>
      <c r="F29" s="330"/>
      <c r="G29" s="13">
        <f>D5*10</f>
        <v>10</v>
      </c>
      <c r="H29" s="13"/>
      <c r="I29" s="327"/>
      <c r="J29" s="71"/>
    </row>
    <row r="30" spans="1:11" ht="15.75" customHeight="1" x14ac:dyDescent="0.25">
      <c r="A30" s="342"/>
      <c r="B30" s="13" t="s">
        <v>100</v>
      </c>
      <c r="C30" s="13"/>
      <c r="D30" s="333"/>
      <c r="E30" s="332"/>
      <c r="F30" s="330"/>
      <c r="G30" s="13">
        <f>D5*6</f>
        <v>6</v>
      </c>
      <c r="H30" s="13"/>
      <c r="I30" s="327"/>
      <c r="J30" s="71"/>
    </row>
    <row r="31" spans="1:11" ht="15.75" customHeight="1" x14ac:dyDescent="0.25">
      <c r="A31" s="13" t="s">
        <v>70</v>
      </c>
      <c r="B31" s="13" t="s">
        <v>101</v>
      </c>
      <c r="C31" s="13"/>
      <c r="D31" s="333"/>
      <c r="E31" s="332"/>
      <c r="F31" s="330"/>
      <c r="G31" s="13">
        <f>D5*10</f>
        <v>10</v>
      </c>
      <c r="H31" s="13"/>
      <c r="I31" s="93"/>
      <c r="J31" s="71"/>
    </row>
    <row r="32" spans="1:11" ht="15.75" customHeight="1" x14ac:dyDescent="0.25">
      <c r="A32" s="15" t="s">
        <v>80</v>
      </c>
      <c r="B32" s="13" t="s">
        <v>102</v>
      </c>
      <c r="C32" s="13"/>
      <c r="D32" s="333"/>
      <c r="E32" s="332"/>
      <c r="F32" s="330"/>
      <c r="G32" s="13">
        <f>D5*4</f>
        <v>4</v>
      </c>
      <c r="H32" s="13"/>
      <c r="I32" s="93"/>
      <c r="J32" s="71"/>
    </row>
    <row r="33" spans="1:10" ht="15.75" customHeight="1" x14ac:dyDescent="0.25">
      <c r="A33" s="481" t="s">
        <v>53</v>
      </c>
      <c r="B33" s="13" t="s">
        <v>103</v>
      </c>
      <c r="C33" s="13"/>
      <c r="D33" s="333"/>
      <c r="E33" s="332"/>
      <c r="F33" s="330"/>
      <c r="G33" s="13">
        <f>D5*4</f>
        <v>4</v>
      </c>
      <c r="H33" s="13"/>
      <c r="I33" s="482"/>
      <c r="J33" s="71"/>
    </row>
    <row r="34" spans="1:10" ht="15.75" customHeight="1" x14ac:dyDescent="0.25">
      <c r="A34" s="342"/>
      <c r="B34" s="13" t="s">
        <v>104</v>
      </c>
      <c r="C34" s="13"/>
      <c r="D34" s="333"/>
      <c r="E34" s="332"/>
      <c r="F34" s="330"/>
      <c r="G34" s="13">
        <f>D5*4</f>
        <v>4</v>
      </c>
      <c r="H34" s="13"/>
      <c r="I34" s="327"/>
      <c r="J34" s="71"/>
    </row>
    <row r="35" spans="1:10" ht="15.75" customHeight="1" x14ac:dyDescent="0.25">
      <c r="A35" s="13" t="s">
        <v>54</v>
      </c>
      <c r="B35" s="13" t="s">
        <v>105</v>
      </c>
      <c r="C35" s="13"/>
      <c r="D35" s="333"/>
      <c r="E35" s="332"/>
      <c r="F35" s="330"/>
      <c r="G35" s="13">
        <f>D5*1</f>
        <v>1</v>
      </c>
      <c r="H35" s="13"/>
      <c r="I35" s="93"/>
      <c r="J35" s="71"/>
    </row>
    <row r="36" spans="1:10" ht="15.75" customHeight="1" x14ac:dyDescent="0.3">
      <c r="A36" s="331" t="s">
        <v>56</v>
      </c>
      <c r="B36" s="330"/>
      <c r="C36" s="331"/>
      <c r="D36" s="332"/>
      <c r="E36" s="332"/>
      <c r="F36" s="332"/>
      <c r="G36" s="332"/>
      <c r="H36" s="330"/>
      <c r="I36" s="93"/>
      <c r="J36" s="71"/>
    </row>
    <row r="37" spans="1:10" ht="15.75" customHeight="1" x14ac:dyDescent="0.3">
      <c r="A37" s="331" t="s">
        <v>57</v>
      </c>
      <c r="B37" s="330"/>
      <c r="C37" s="331"/>
      <c r="D37" s="332"/>
      <c r="E37" s="332"/>
      <c r="F37" s="332"/>
      <c r="G37" s="332"/>
      <c r="H37" s="330"/>
      <c r="I37" s="93"/>
      <c r="J37" s="71"/>
    </row>
    <row r="38" spans="1:10" ht="18" customHeight="1" x14ac:dyDescent="0.25">
      <c r="A38" s="334" t="s">
        <v>58</v>
      </c>
      <c r="B38" s="335"/>
      <c r="C38" s="335"/>
      <c r="D38" s="335"/>
      <c r="E38" s="336"/>
      <c r="F38" s="334" t="s">
        <v>59</v>
      </c>
      <c r="G38" s="335"/>
      <c r="H38" s="336"/>
      <c r="I38" s="93"/>
      <c r="J38" s="71"/>
    </row>
    <row r="39" spans="1:10" ht="18" customHeight="1" x14ac:dyDescent="0.25">
      <c r="A39" s="337"/>
      <c r="B39" s="338"/>
      <c r="C39" s="338"/>
      <c r="D39" s="338"/>
      <c r="E39" s="339"/>
      <c r="F39" s="337"/>
      <c r="G39" s="338"/>
      <c r="H39" s="339"/>
      <c r="I39" s="93"/>
      <c r="J39" s="71"/>
    </row>
    <row r="40" spans="1:10" ht="15.75" customHeight="1" x14ac:dyDescent="0.35">
      <c r="A40" s="80"/>
      <c r="B40" s="81"/>
      <c r="C40" s="484"/>
      <c r="D40" s="327"/>
      <c r="E40" s="327"/>
      <c r="F40" s="327"/>
      <c r="G40" s="71"/>
      <c r="H40" s="81"/>
      <c r="I40" s="71"/>
      <c r="J40" s="71"/>
    </row>
    <row r="41" spans="1:10" ht="15.75" customHeight="1" x14ac:dyDescent="0.35">
      <c r="A41" s="80"/>
      <c r="B41" s="81"/>
      <c r="C41" s="71"/>
      <c r="D41" s="71"/>
      <c r="E41" s="71"/>
      <c r="F41" s="71"/>
      <c r="G41" s="71"/>
      <c r="H41" s="81"/>
      <c r="I41" s="71"/>
      <c r="J41" s="71"/>
    </row>
    <row r="42" spans="1:10" ht="15.75" customHeight="1" x14ac:dyDescent="0.35">
      <c r="A42" s="80"/>
      <c r="B42" s="81"/>
      <c r="C42" s="71"/>
      <c r="D42" s="71"/>
      <c r="E42" s="71"/>
      <c r="F42" s="71"/>
      <c r="G42" s="71"/>
      <c r="H42" s="81"/>
      <c r="I42" s="71"/>
      <c r="J42" s="71"/>
    </row>
    <row r="43" spans="1:10" ht="15.75" customHeight="1" x14ac:dyDescent="0.35">
      <c r="A43" s="80"/>
      <c r="B43" s="81"/>
      <c r="C43" s="71"/>
      <c r="D43" s="71"/>
      <c r="E43" s="71"/>
      <c r="F43" s="71"/>
      <c r="G43" s="82"/>
      <c r="H43" s="81"/>
      <c r="I43" s="71"/>
      <c r="J43" s="71"/>
    </row>
    <row r="44" spans="1:10" ht="15.75" customHeight="1" x14ac:dyDescent="0.35">
      <c r="A44" s="80"/>
      <c r="B44" s="81"/>
      <c r="C44" s="71"/>
      <c r="D44" s="71"/>
      <c r="E44" s="71"/>
      <c r="F44" s="483"/>
      <c r="G44" s="327"/>
      <c r="H44" s="81"/>
      <c r="I44" s="71"/>
      <c r="J44" s="71"/>
    </row>
    <row r="45" spans="1:10" ht="15.75" customHeight="1" x14ac:dyDescent="0.35">
      <c r="A45" s="80"/>
      <c r="B45" s="81"/>
      <c r="C45" s="71"/>
      <c r="D45" s="71"/>
      <c r="E45" s="71"/>
      <c r="F45" s="71"/>
      <c r="G45" s="71"/>
      <c r="H45" s="81"/>
      <c r="I45" s="71"/>
      <c r="J45" s="71"/>
    </row>
    <row r="46" spans="1:10" ht="15.75" customHeight="1" x14ac:dyDescent="0.35">
      <c r="A46" s="80"/>
      <c r="B46" s="81"/>
      <c r="C46" s="484"/>
      <c r="D46" s="327"/>
      <c r="E46" s="327"/>
      <c r="F46" s="327"/>
      <c r="G46" s="71"/>
      <c r="H46" s="81"/>
      <c r="I46" s="71"/>
      <c r="J46" s="71"/>
    </row>
    <row r="47" spans="1:10" ht="15.75" customHeight="1" x14ac:dyDescent="0.35">
      <c r="A47" s="80"/>
      <c r="B47" s="81"/>
      <c r="C47" s="81"/>
      <c r="D47" s="81"/>
      <c r="E47" s="71"/>
      <c r="F47" s="71"/>
      <c r="G47" s="71"/>
      <c r="H47" s="81"/>
      <c r="I47" s="71"/>
      <c r="J47" s="71"/>
    </row>
    <row r="48" spans="1:10" ht="15.75" customHeight="1" x14ac:dyDescent="0.3"/>
    <row r="49" spans="2:5" ht="15.75" customHeight="1" x14ac:dyDescent="0.3"/>
    <row r="50" spans="2:5" ht="15.75" customHeight="1" x14ac:dyDescent="0.3"/>
    <row r="51" spans="2:5" ht="15.75" customHeight="1" x14ac:dyDescent="0.4">
      <c r="B51" s="328"/>
      <c r="C51" s="327"/>
      <c r="D51" s="327"/>
      <c r="E51" s="327"/>
    </row>
    <row r="52" spans="2:5" ht="15.75" customHeight="1" x14ac:dyDescent="0.3"/>
    <row r="53" spans="2:5" ht="15.75" customHeight="1" x14ac:dyDescent="0.3"/>
    <row r="54" spans="2:5" ht="15.75" customHeight="1" x14ac:dyDescent="0.3"/>
    <row r="55" spans="2:5" ht="15.75" customHeight="1" x14ac:dyDescent="0.3"/>
    <row r="56" spans="2:5" ht="15.75" customHeight="1" x14ac:dyDescent="0.3"/>
    <row r="57" spans="2:5" ht="15.75" customHeight="1" x14ac:dyDescent="0.3"/>
    <row r="58" spans="2:5" ht="15.75" customHeight="1" x14ac:dyDescent="0.3"/>
    <row r="59" spans="2:5" ht="15.75" customHeight="1" x14ac:dyDescent="0.3"/>
    <row r="60" spans="2:5" ht="15.75" customHeight="1" x14ac:dyDescent="0.3"/>
    <row r="61" spans="2:5" ht="15.75" customHeight="1" x14ac:dyDescent="0.3"/>
    <row r="62" spans="2:5" ht="15.75" customHeight="1" x14ac:dyDescent="0.3"/>
    <row r="63" spans="2:5" ht="15.75" customHeight="1" x14ac:dyDescent="0.3"/>
    <row r="64" spans="2:5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65">
    <mergeCell ref="A3:C3"/>
    <mergeCell ref="E3:H3"/>
    <mergeCell ref="A2:H2"/>
    <mergeCell ref="A1:H1"/>
    <mergeCell ref="C46:F46"/>
    <mergeCell ref="A22:A26"/>
    <mergeCell ref="A16:A21"/>
    <mergeCell ref="A9:A11"/>
    <mergeCell ref="A28:A30"/>
    <mergeCell ref="D18:F18"/>
    <mergeCell ref="D19:F19"/>
    <mergeCell ref="D20:F20"/>
    <mergeCell ref="D21:F21"/>
    <mergeCell ref="C6:H6"/>
    <mergeCell ref="D11:F11"/>
    <mergeCell ref="D12:F12"/>
    <mergeCell ref="B51:E51"/>
    <mergeCell ref="C22:C23"/>
    <mergeCell ref="B22:B23"/>
    <mergeCell ref="E22:F23"/>
    <mergeCell ref="E24:F24"/>
    <mergeCell ref="E25:F25"/>
    <mergeCell ref="F44:G44"/>
    <mergeCell ref="D31:F31"/>
    <mergeCell ref="D32:F32"/>
    <mergeCell ref="D33:F33"/>
    <mergeCell ref="E5:H5"/>
    <mergeCell ref="A4:C4"/>
    <mergeCell ref="A5:C5"/>
    <mergeCell ref="D9:F9"/>
    <mergeCell ref="D8:F8"/>
    <mergeCell ref="A8:B8"/>
    <mergeCell ref="A6:B6"/>
    <mergeCell ref="A7:B7"/>
    <mergeCell ref="E4:H4"/>
    <mergeCell ref="C7:H7"/>
    <mergeCell ref="A12:A15"/>
    <mergeCell ref="I28:I30"/>
    <mergeCell ref="D15:F15"/>
    <mergeCell ref="D14:F14"/>
    <mergeCell ref="D10:F10"/>
    <mergeCell ref="D30:F30"/>
    <mergeCell ref="I7:K7"/>
    <mergeCell ref="D17:F17"/>
    <mergeCell ref="D16:F16"/>
    <mergeCell ref="D13:F13"/>
    <mergeCell ref="D29:F29"/>
    <mergeCell ref="D28:F28"/>
    <mergeCell ref="D27:F27"/>
    <mergeCell ref="I24:I26"/>
    <mergeCell ref="H22:H26"/>
    <mergeCell ref="G22:G23"/>
    <mergeCell ref="D22:D23"/>
    <mergeCell ref="E26:F26"/>
    <mergeCell ref="I33:I34"/>
    <mergeCell ref="C40:F40"/>
    <mergeCell ref="C36:H36"/>
    <mergeCell ref="F38:H39"/>
    <mergeCell ref="C37:H37"/>
    <mergeCell ref="A38:E39"/>
    <mergeCell ref="A37:B37"/>
    <mergeCell ref="D34:F34"/>
    <mergeCell ref="D35:F35"/>
    <mergeCell ref="A33:A34"/>
    <mergeCell ref="A36:B36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Views>
    <sheetView workbookViewId="0">
      <selection sqref="A1:H1"/>
    </sheetView>
  </sheetViews>
  <sheetFormatPr baseColWidth="10" defaultColWidth="14.44140625" defaultRowHeight="15" customHeight="1" x14ac:dyDescent="0.3"/>
  <cols>
    <col min="1" max="1" width="17" customWidth="1"/>
    <col min="2" max="2" width="18.33203125" customWidth="1"/>
    <col min="3" max="3" width="8.109375" customWidth="1"/>
    <col min="4" max="4" width="13.33203125" customWidth="1"/>
    <col min="5" max="5" width="7.5546875" customWidth="1"/>
    <col min="6" max="6" width="4.109375" customWidth="1"/>
    <col min="7" max="7" width="6.88671875" customWidth="1"/>
    <col min="8" max="8" width="10.33203125" customWidth="1"/>
    <col min="9" max="9" width="17.109375" customWidth="1"/>
    <col min="10" max="10" width="21.44140625" customWidth="1"/>
    <col min="11" max="11" width="19.5546875" customWidth="1"/>
    <col min="12" max="13" width="8.5546875" customWidth="1"/>
  </cols>
  <sheetData>
    <row r="1" spans="1:11" ht="22.8" x14ac:dyDescent="0.4">
      <c r="A1" s="509"/>
      <c r="B1" s="510"/>
      <c r="C1" s="510"/>
      <c r="D1" s="510"/>
      <c r="E1" s="510"/>
      <c r="F1" s="510"/>
      <c r="G1" s="510"/>
      <c r="H1" s="511"/>
      <c r="I1" s="87"/>
      <c r="J1" s="97"/>
      <c r="K1" s="97"/>
    </row>
    <row r="2" spans="1:11" ht="22.8" x14ac:dyDescent="0.4">
      <c r="A2" s="516" t="s">
        <v>128</v>
      </c>
      <c r="B2" s="332"/>
      <c r="C2" s="332"/>
      <c r="D2" s="332"/>
      <c r="E2" s="332"/>
      <c r="F2" s="332"/>
      <c r="G2" s="332"/>
      <c r="H2" s="330"/>
      <c r="I2" s="87"/>
      <c r="J2" s="97"/>
    </row>
    <row r="3" spans="1:11" ht="20.399999999999999" x14ac:dyDescent="0.35">
      <c r="A3" s="513" t="s">
        <v>3</v>
      </c>
      <c r="B3" s="332"/>
      <c r="C3" s="330"/>
      <c r="D3" s="37">
        <v>235.8</v>
      </c>
      <c r="E3" s="517" t="s">
        <v>129</v>
      </c>
      <c r="F3" s="332"/>
      <c r="G3" s="332"/>
      <c r="H3" s="330"/>
      <c r="I3" s="98"/>
      <c r="J3" s="99"/>
      <c r="K3" s="99"/>
    </row>
    <row r="4" spans="1:11" ht="21" x14ac:dyDescent="0.35">
      <c r="A4" s="508" t="s">
        <v>6</v>
      </c>
      <c r="B4" s="332"/>
      <c r="C4" s="330"/>
      <c r="D4" s="37">
        <v>313.2</v>
      </c>
      <c r="E4" s="517" t="s">
        <v>129</v>
      </c>
      <c r="F4" s="332"/>
      <c r="G4" s="332"/>
      <c r="H4" s="330"/>
      <c r="I4" s="72"/>
      <c r="J4" s="99"/>
      <c r="K4" s="99"/>
    </row>
    <row r="5" spans="1:11" ht="21" x14ac:dyDescent="0.35">
      <c r="A5" s="508" t="s">
        <v>7</v>
      </c>
      <c r="B5" s="332"/>
      <c r="C5" s="100"/>
      <c r="D5" s="88">
        <v>1</v>
      </c>
      <c r="E5" s="491"/>
      <c r="F5" s="332"/>
      <c r="G5" s="332"/>
      <c r="H5" s="330"/>
      <c r="I5" s="89"/>
      <c r="J5" s="99"/>
      <c r="K5" s="99"/>
    </row>
    <row r="6" spans="1:11" ht="21" x14ac:dyDescent="0.4">
      <c r="A6" s="503" t="s">
        <v>72</v>
      </c>
      <c r="B6" s="330"/>
      <c r="C6" s="504"/>
      <c r="D6" s="332"/>
      <c r="E6" s="332"/>
      <c r="F6" s="332"/>
      <c r="G6" s="332"/>
      <c r="H6" s="330"/>
      <c r="J6" s="99"/>
      <c r="K6" s="99"/>
    </row>
    <row r="7" spans="1:11" ht="21" x14ac:dyDescent="0.4">
      <c r="A7" s="503" t="s">
        <v>9</v>
      </c>
      <c r="B7" s="330"/>
      <c r="C7" s="504"/>
      <c r="D7" s="332"/>
      <c r="E7" s="332"/>
      <c r="F7" s="332"/>
      <c r="G7" s="332"/>
      <c r="H7" s="330"/>
      <c r="I7" s="366"/>
      <c r="J7" s="332"/>
      <c r="K7" s="330"/>
    </row>
    <row r="8" spans="1:11" ht="27.6" x14ac:dyDescent="0.4">
      <c r="A8" s="508" t="s">
        <v>61</v>
      </c>
      <c r="B8" s="330"/>
      <c r="C8" s="101" t="s">
        <v>11</v>
      </c>
      <c r="D8" s="518" t="s">
        <v>12</v>
      </c>
      <c r="E8" s="332"/>
      <c r="F8" s="330"/>
      <c r="G8" s="102" t="s">
        <v>130</v>
      </c>
      <c r="H8" s="103" t="s">
        <v>84</v>
      </c>
      <c r="I8" s="41"/>
      <c r="J8" s="41"/>
      <c r="K8" s="41"/>
    </row>
    <row r="9" spans="1:11" ht="14.4" x14ac:dyDescent="0.3">
      <c r="A9" s="507" t="s">
        <v>19</v>
      </c>
      <c r="B9" s="104" t="s">
        <v>20</v>
      </c>
      <c r="C9" s="104" t="s">
        <v>85</v>
      </c>
      <c r="D9" s="492">
        <f>D4</f>
        <v>313.2</v>
      </c>
      <c r="E9" s="332"/>
      <c r="F9" s="330"/>
      <c r="G9" s="104">
        <f>D5*1</f>
        <v>1</v>
      </c>
      <c r="H9" s="104">
        <v>90</v>
      </c>
      <c r="I9" s="13"/>
      <c r="J9" s="13"/>
      <c r="K9" s="43"/>
    </row>
    <row r="10" spans="1:11" ht="14.4" x14ac:dyDescent="0.3">
      <c r="A10" s="500"/>
      <c r="B10" s="104" t="s">
        <v>23</v>
      </c>
      <c r="C10" s="104" t="s">
        <v>86</v>
      </c>
      <c r="D10" s="492">
        <f>D4</f>
        <v>313.2</v>
      </c>
      <c r="E10" s="332"/>
      <c r="F10" s="330"/>
      <c r="G10" s="104">
        <f>D5*1</f>
        <v>1</v>
      </c>
      <c r="H10" s="104">
        <v>90</v>
      </c>
      <c r="I10" s="13"/>
      <c r="J10" s="13"/>
      <c r="K10" s="43"/>
    </row>
    <row r="11" spans="1:11" ht="14.4" x14ac:dyDescent="0.3">
      <c r="A11" s="501"/>
      <c r="B11" s="104" t="s">
        <v>26</v>
      </c>
      <c r="C11" s="104" t="s">
        <v>87</v>
      </c>
      <c r="D11" s="492">
        <f>D3-1.1</f>
        <v>234.70000000000002</v>
      </c>
      <c r="E11" s="332"/>
      <c r="F11" s="330"/>
      <c r="G11" s="104">
        <f>D5*2</f>
        <v>2</v>
      </c>
      <c r="H11" s="104">
        <v>90</v>
      </c>
      <c r="I11" s="13"/>
      <c r="J11" s="13"/>
      <c r="K11" s="43"/>
    </row>
    <row r="12" spans="1:11" ht="14.4" x14ac:dyDescent="0.3">
      <c r="A12" s="499" t="s">
        <v>29</v>
      </c>
      <c r="B12" s="104" t="s">
        <v>89</v>
      </c>
      <c r="C12" s="104" t="s">
        <v>90</v>
      </c>
      <c r="D12" s="492">
        <f>D3-2.5</f>
        <v>233.3</v>
      </c>
      <c r="E12" s="332"/>
      <c r="F12" s="330"/>
      <c r="G12" s="104">
        <f>D5*4</f>
        <v>4</v>
      </c>
      <c r="H12" s="104">
        <v>90</v>
      </c>
      <c r="I12" s="13"/>
      <c r="J12" s="13"/>
      <c r="K12" s="43"/>
    </row>
    <row r="13" spans="1:11" ht="14.4" x14ac:dyDescent="0.3">
      <c r="A13" s="500"/>
      <c r="B13" s="104" t="s">
        <v>91</v>
      </c>
      <c r="C13" s="104" t="s">
        <v>92</v>
      </c>
      <c r="D13" s="492">
        <f>D3-2.5</f>
        <v>233.3</v>
      </c>
      <c r="E13" s="332"/>
      <c r="F13" s="330"/>
      <c r="G13" s="104">
        <f>D5*4</f>
        <v>4</v>
      </c>
      <c r="H13" s="104">
        <v>90</v>
      </c>
      <c r="I13" s="13"/>
      <c r="J13" s="13"/>
      <c r="K13" s="43"/>
    </row>
    <row r="14" spans="1:11" ht="14.4" x14ac:dyDescent="0.3">
      <c r="A14" s="500"/>
      <c r="B14" s="104" t="s">
        <v>131</v>
      </c>
      <c r="C14" s="104" t="s">
        <v>132</v>
      </c>
      <c r="D14" s="492">
        <f>D3-2.5</f>
        <v>233.3</v>
      </c>
      <c r="E14" s="332"/>
      <c r="F14" s="330"/>
      <c r="G14" s="104">
        <f>D5*1</f>
        <v>1</v>
      </c>
      <c r="H14" s="104">
        <v>90</v>
      </c>
      <c r="I14" s="13"/>
      <c r="J14" s="13"/>
      <c r="K14" s="43"/>
    </row>
    <row r="15" spans="1:11" ht="14.4" x14ac:dyDescent="0.25">
      <c r="A15" s="500"/>
      <c r="B15" s="104" t="s">
        <v>93</v>
      </c>
      <c r="C15" s="104" t="s">
        <v>94</v>
      </c>
      <c r="D15" s="492">
        <f>(D4+1)/4</f>
        <v>78.55</v>
      </c>
      <c r="E15" s="332"/>
      <c r="F15" s="330"/>
      <c r="G15" s="104">
        <f>D5*4</f>
        <v>4</v>
      </c>
      <c r="H15" s="104">
        <v>90</v>
      </c>
      <c r="I15" s="13"/>
      <c r="J15" s="13"/>
      <c r="K15" s="105"/>
    </row>
    <row r="16" spans="1:11" ht="14.4" x14ac:dyDescent="0.25">
      <c r="A16" s="501"/>
      <c r="B16" s="104" t="s">
        <v>95</v>
      </c>
      <c r="C16" s="104" t="s">
        <v>96</v>
      </c>
      <c r="D16" s="492">
        <f>(D4+1)/4</f>
        <v>78.55</v>
      </c>
      <c r="E16" s="332"/>
      <c r="F16" s="330"/>
      <c r="G16" s="104">
        <f>D5*4</f>
        <v>4</v>
      </c>
      <c r="H16" s="104">
        <v>90</v>
      </c>
      <c r="I16" s="13"/>
      <c r="J16" s="13"/>
      <c r="K16" s="75"/>
    </row>
    <row r="17" spans="1:13" ht="15" customHeight="1" x14ac:dyDescent="0.25">
      <c r="A17" s="502" t="s">
        <v>39</v>
      </c>
      <c r="B17" s="359" t="s">
        <v>133</v>
      </c>
      <c r="C17" s="341"/>
      <c r="D17" s="514" t="s">
        <v>3</v>
      </c>
      <c r="E17" s="515" t="s">
        <v>41</v>
      </c>
      <c r="F17" s="336"/>
      <c r="G17" s="485"/>
      <c r="H17" s="485"/>
      <c r="I17" s="106"/>
      <c r="J17" s="97"/>
      <c r="K17" s="97"/>
    </row>
    <row r="18" spans="1:13" ht="15" customHeight="1" x14ac:dyDescent="0.25">
      <c r="A18" s="500"/>
      <c r="B18" s="354"/>
      <c r="C18" s="354"/>
      <c r="D18" s="342"/>
      <c r="E18" s="337"/>
      <c r="F18" s="339"/>
      <c r="G18" s="342"/>
      <c r="H18" s="342"/>
      <c r="I18" s="106"/>
      <c r="J18" s="97"/>
      <c r="K18" s="97"/>
    </row>
    <row r="19" spans="1:13" ht="14.4" x14ac:dyDescent="0.25">
      <c r="A19" s="501"/>
      <c r="B19" s="342"/>
      <c r="C19" s="342"/>
      <c r="D19" s="19">
        <f>D3-9</f>
        <v>226.8</v>
      </c>
      <c r="E19" s="357">
        <f>D15-5.4</f>
        <v>73.149999999999991</v>
      </c>
      <c r="F19" s="330"/>
      <c r="G19" s="18">
        <f>D5*4</f>
        <v>4</v>
      </c>
      <c r="H19" s="18"/>
      <c r="I19" s="106"/>
      <c r="J19" s="97"/>
      <c r="K19" s="97"/>
    </row>
    <row r="20" spans="1:13" ht="15.6" x14ac:dyDescent="0.3">
      <c r="A20" s="107" t="s">
        <v>42</v>
      </c>
      <c r="B20" s="104">
        <v>744</v>
      </c>
      <c r="C20" s="104"/>
      <c r="D20" s="494"/>
      <c r="E20" s="332"/>
      <c r="F20" s="330"/>
      <c r="G20" s="104">
        <f>(D19*8)+(E19*8)*D5</f>
        <v>2399.6</v>
      </c>
      <c r="H20" s="104" t="s">
        <v>43</v>
      </c>
      <c r="I20" s="106"/>
      <c r="J20" s="97"/>
      <c r="K20" s="97"/>
    </row>
    <row r="21" spans="1:13" ht="15.75" customHeight="1" x14ac:dyDescent="0.25">
      <c r="A21" s="499" t="s">
        <v>44</v>
      </c>
      <c r="B21" s="104" t="s">
        <v>45</v>
      </c>
      <c r="C21" s="104"/>
      <c r="D21" s="493"/>
      <c r="E21" s="332"/>
      <c r="F21" s="330"/>
      <c r="G21" s="104">
        <f>D5*36</f>
        <v>36</v>
      </c>
      <c r="H21" s="104"/>
      <c r="I21" s="505"/>
      <c r="J21" s="97"/>
      <c r="K21" s="97"/>
    </row>
    <row r="22" spans="1:13" ht="15.75" customHeight="1" x14ac:dyDescent="0.25">
      <c r="A22" s="500"/>
      <c r="B22" s="104" t="s">
        <v>116</v>
      </c>
      <c r="C22" s="104"/>
      <c r="D22" s="493"/>
      <c r="E22" s="332"/>
      <c r="F22" s="330"/>
      <c r="G22" s="104">
        <f>D5*10</f>
        <v>10</v>
      </c>
      <c r="H22" s="104"/>
      <c r="I22" s="506"/>
      <c r="J22" s="97"/>
      <c r="K22" s="97"/>
    </row>
    <row r="23" spans="1:13" ht="15.75" customHeight="1" x14ac:dyDescent="0.25">
      <c r="A23" s="501"/>
      <c r="B23" s="104" t="s">
        <v>100</v>
      </c>
      <c r="C23" s="104"/>
      <c r="D23" s="493"/>
      <c r="E23" s="332"/>
      <c r="F23" s="330"/>
      <c r="G23" s="104">
        <f>D5*12</f>
        <v>12</v>
      </c>
      <c r="H23" s="104"/>
      <c r="I23" s="506"/>
      <c r="J23" s="97"/>
      <c r="K23" s="97"/>
    </row>
    <row r="24" spans="1:13" ht="15.75" customHeight="1" x14ac:dyDescent="0.3">
      <c r="A24" s="107" t="s">
        <v>70</v>
      </c>
      <c r="B24" s="104" t="s">
        <v>101</v>
      </c>
      <c r="C24" s="104"/>
      <c r="D24" s="493"/>
      <c r="E24" s="332"/>
      <c r="F24" s="330"/>
      <c r="G24" s="104">
        <f>D5*10</f>
        <v>10</v>
      </c>
      <c r="H24" s="104"/>
      <c r="I24" s="106"/>
      <c r="J24" s="97"/>
      <c r="K24" s="97"/>
      <c r="M24" s="2"/>
    </row>
    <row r="25" spans="1:13" ht="15.75" customHeight="1" x14ac:dyDescent="0.25">
      <c r="A25" s="109" t="s">
        <v>80</v>
      </c>
      <c r="B25" s="104" t="s">
        <v>102</v>
      </c>
      <c r="C25" s="104"/>
      <c r="D25" s="493"/>
      <c r="E25" s="332"/>
      <c r="F25" s="330"/>
      <c r="G25" s="104">
        <f>D5*4</f>
        <v>4</v>
      </c>
      <c r="H25" s="104"/>
      <c r="I25" s="106"/>
      <c r="J25" s="97"/>
      <c r="K25" s="97"/>
    </row>
    <row r="26" spans="1:13" ht="15.75" customHeight="1" x14ac:dyDescent="0.25">
      <c r="A26" s="499" t="s">
        <v>53</v>
      </c>
      <c r="B26" s="104" t="s">
        <v>134</v>
      </c>
      <c r="C26" s="104"/>
      <c r="D26" s="493"/>
      <c r="E26" s="332"/>
      <c r="F26" s="330"/>
      <c r="G26" s="104">
        <f>D5*4</f>
        <v>4</v>
      </c>
      <c r="H26" s="104"/>
      <c r="I26" s="106"/>
      <c r="J26" s="97"/>
      <c r="K26" s="97"/>
    </row>
    <row r="27" spans="1:13" ht="15.75" customHeight="1" x14ac:dyDescent="0.25">
      <c r="A27" s="501"/>
      <c r="B27" s="104" t="s">
        <v>135</v>
      </c>
      <c r="C27" s="104"/>
      <c r="D27" s="493"/>
      <c r="E27" s="332"/>
      <c r="F27" s="330"/>
      <c r="G27" s="104">
        <f>D5*4</f>
        <v>4</v>
      </c>
      <c r="H27" s="104"/>
      <c r="I27" s="106"/>
      <c r="J27" s="97"/>
      <c r="K27" s="97"/>
    </row>
    <row r="28" spans="1:13" ht="15.75" customHeight="1" x14ac:dyDescent="0.3">
      <c r="A28" s="107" t="s">
        <v>54</v>
      </c>
      <c r="B28" s="104" t="s">
        <v>136</v>
      </c>
      <c r="C28" s="104"/>
      <c r="D28" s="495"/>
      <c r="E28" s="335"/>
      <c r="F28" s="336"/>
      <c r="G28" s="104">
        <f>D5*1</f>
        <v>1</v>
      </c>
      <c r="H28" s="104"/>
      <c r="I28" s="106"/>
      <c r="J28" s="97"/>
      <c r="K28" s="97"/>
    </row>
    <row r="29" spans="1:13" ht="15.75" customHeight="1" x14ac:dyDescent="0.3">
      <c r="A29" s="107"/>
      <c r="B29" s="104" t="s">
        <v>137</v>
      </c>
      <c r="C29" s="108"/>
      <c r="D29" s="108"/>
      <c r="E29" s="110"/>
      <c r="F29" s="111"/>
      <c r="G29" s="111">
        <f>D5*1</f>
        <v>1</v>
      </c>
      <c r="H29" s="104"/>
      <c r="I29" s="106"/>
      <c r="J29" s="97"/>
      <c r="K29" s="97"/>
    </row>
    <row r="30" spans="1:13" ht="15.75" customHeight="1" x14ac:dyDescent="0.3">
      <c r="A30" s="513" t="s">
        <v>56</v>
      </c>
      <c r="B30" s="330"/>
      <c r="C30" s="491"/>
      <c r="D30" s="332"/>
      <c r="E30" s="332"/>
      <c r="F30" s="332"/>
      <c r="G30" s="332"/>
      <c r="H30" s="330"/>
      <c r="I30" s="106"/>
      <c r="J30" s="97"/>
      <c r="K30" s="97"/>
    </row>
    <row r="31" spans="1:13" ht="15.75" customHeight="1" x14ac:dyDescent="0.3">
      <c r="A31" s="513" t="s">
        <v>57</v>
      </c>
      <c r="B31" s="330"/>
      <c r="C31" s="491"/>
      <c r="D31" s="332"/>
      <c r="E31" s="332"/>
      <c r="F31" s="332"/>
      <c r="G31" s="332"/>
      <c r="H31" s="330"/>
      <c r="I31" s="106"/>
      <c r="J31" s="97"/>
      <c r="K31" s="97"/>
    </row>
    <row r="32" spans="1:13" ht="15" customHeight="1" x14ac:dyDescent="0.3">
      <c r="A32" s="512" t="s">
        <v>58</v>
      </c>
      <c r="B32" s="327"/>
      <c r="C32" s="327"/>
      <c r="D32" s="327"/>
      <c r="E32" s="361"/>
      <c r="F32" s="491"/>
      <c r="G32" s="332"/>
      <c r="H32" s="330"/>
      <c r="I32" s="97"/>
      <c r="J32" s="97"/>
      <c r="K32" s="97"/>
    </row>
    <row r="33" spans="1:11" ht="15.75" customHeight="1" x14ac:dyDescent="0.3">
      <c r="A33" s="338"/>
      <c r="B33" s="338"/>
      <c r="C33" s="338"/>
      <c r="D33" s="338"/>
      <c r="E33" s="339"/>
      <c r="F33" s="496" t="s">
        <v>59</v>
      </c>
      <c r="G33" s="497"/>
      <c r="H33" s="498"/>
      <c r="I33" s="97"/>
      <c r="J33" s="97"/>
      <c r="K33" s="97"/>
    </row>
    <row r="34" spans="1:11" ht="15.75" customHeight="1" x14ac:dyDescent="0.3">
      <c r="A34" s="55"/>
      <c r="B34" s="55"/>
      <c r="C34" s="490"/>
      <c r="D34" s="327"/>
      <c r="E34" s="327"/>
      <c r="F34" s="327"/>
      <c r="G34" s="327"/>
      <c r="H34" s="112"/>
      <c r="I34" s="97"/>
      <c r="J34" s="97"/>
      <c r="K34" s="97"/>
    </row>
    <row r="35" spans="1:11" ht="15.75" customHeight="1" x14ac:dyDescent="0.4">
      <c r="A35" s="70"/>
      <c r="B35" s="56"/>
      <c r="C35" s="112"/>
      <c r="D35" s="2"/>
      <c r="E35" s="32"/>
      <c r="F35" s="32"/>
      <c r="G35" s="112"/>
      <c r="H35" s="113"/>
      <c r="I35" s="97"/>
      <c r="J35" s="97"/>
      <c r="K35" s="97"/>
    </row>
    <row r="36" spans="1:11" ht="15.75" customHeight="1" x14ac:dyDescent="0.4">
      <c r="A36" s="70"/>
      <c r="B36" s="32"/>
      <c r="C36" s="32"/>
      <c r="D36" s="32"/>
      <c r="E36" s="32"/>
      <c r="F36" s="32"/>
      <c r="G36" s="112"/>
      <c r="H36" s="113"/>
      <c r="I36" s="97"/>
      <c r="J36" s="97"/>
      <c r="K36" s="97"/>
    </row>
    <row r="37" spans="1:11" ht="15.75" customHeight="1" x14ac:dyDescent="0.4">
      <c r="A37" s="70"/>
      <c r="B37" s="32"/>
      <c r="C37" s="32"/>
      <c r="D37" s="32"/>
      <c r="E37" s="32"/>
      <c r="F37" s="32"/>
      <c r="G37" s="483">
        <f>D3</f>
        <v>235.8</v>
      </c>
      <c r="H37" s="327"/>
      <c r="I37" s="97"/>
      <c r="J37" s="97"/>
      <c r="K37" s="97"/>
    </row>
    <row r="38" spans="1:11" ht="15.75" customHeight="1" x14ac:dyDescent="0.4">
      <c r="A38" s="70"/>
      <c r="B38" s="32"/>
      <c r="C38" s="32"/>
      <c r="D38" s="32"/>
      <c r="E38" s="32"/>
      <c r="F38" s="32"/>
      <c r="G38" s="112"/>
      <c r="H38" s="113"/>
      <c r="I38" s="97"/>
      <c r="J38" s="97"/>
      <c r="K38" s="97"/>
    </row>
    <row r="39" spans="1:11" ht="15.75" customHeight="1" x14ac:dyDescent="0.4">
      <c r="A39" s="70"/>
      <c r="B39" s="32"/>
      <c r="C39" s="32"/>
      <c r="D39" s="32"/>
      <c r="E39" s="33"/>
      <c r="F39" s="32"/>
      <c r="G39" s="112"/>
      <c r="H39" s="113"/>
      <c r="I39" s="97"/>
      <c r="J39" s="97"/>
      <c r="K39" s="97"/>
    </row>
    <row r="40" spans="1:11" ht="15.75" customHeight="1" x14ac:dyDescent="0.4">
      <c r="A40" s="70"/>
      <c r="B40" s="32"/>
      <c r="C40" s="56"/>
      <c r="D40" s="2"/>
      <c r="E40" s="2"/>
      <c r="F40" s="2"/>
      <c r="G40" s="2"/>
      <c r="H40" s="112"/>
      <c r="I40" s="97"/>
      <c r="J40" s="97"/>
      <c r="K40" s="97"/>
    </row>
    <row r="41" spans="1:11" ht="15.75" customHeight="1" x14ac:dyDescent="0.4">
      <c r="A41" s="70"/>
      <c r="B41" s="32"/>
      <c r="C41" s="32"/>
      <c r="D41" s="32"/>
      <c r="E41" s="32"/>
      <c r="F41" s="32"/>
      <c r="G41" s="112"/>
      <c r="H41" s="112"/>
      <c r="I41" s="97"/>
      <c r="J41" s="97"/>
      <c r="K41" s="97"/>
    </row>
    <row r="42" spans="1:11" ht="15" customHeight="1" x14ac:dyDescent="0.4">
      <c r="B42" s="328">
        <f>D4</f>
        <v>313.2</v>
      </c>
      <c r="C42" s="327"/>
      <c r="D42" s="327"/>
      <c r="E42" s="327"/>
      <c r="F42" s="327"/>
    </row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55">
    <mergeCell ref="A5:B5"/>
    <mergeCell ref="E5:H5"/>
    <mergeCell ref="A1:H1"/>
    <mergeCell ref="A32:E33"/>
    <mergeCell ref="A31:B31"/>
    <mergeCell ref="A30:B30"/>
    <mergeCell ref="D17:D18"/>
    <mergeCell ref="E17:F18"/>
    <mergeCell ref="G17:G18"/>
    <mergeCell ref="H17:H18"/>
    <mergeCell ref="A2:H2"/>
    <mergeCell ref="E3:H3"/>
    <mergeCell ref="A3:C3"/>
    <mergeCell ref="E4:H4"/>
    <mergeCell ref="A4:C4"/>
    <mergeCell ref="D8:F8"/>
    <mergeCell ref="D9:F9"/>
    <mergeCell ref="A9:A11"/>
    <mergeCell ref="A8:B8"/>
    <mergeCell ref="D10:F10"/>
    <mergeCell ref="D11:F11"/>
    <mergeCell ref="A21:A23"/>
    <mergeCell ref="A26:A27"/>
    <mergeCell ref="I21:I23"/>
    <mergeCell ref="D22:F22"/>
    <mergeCell ref="D26:F26"/>
    <mergeCell ref="A6:B6"/>
    <mergeCell ref="C6:H6"/>
    <mergeCell ref="I7:K7"/>
    <mergeCell ref="C7:H7"/>
    <mergeCell ref="A7:B7"/>
    <mergeCell ref="D15:F15"/>
    <mergeCell ref="A12:A16"/>
    <mergeCell ref="A17:A19"/>
    <mergeCell ref="C17:C19"/>
    <mergeCell ref="B17:B19"/>
    <mergeCell ref="D13:F13"/>
    <mergeCell ref="D12:F12"/>
    <mergeCell ref="E19:F19"/>
    <mergeCell ref="D14:F14"/>
    <mergeCell ref="C34:G34"/>
    <mergeCell ref="F32:H32"/>
    <mergeCell ref="G37:H37"/>
    <mergeCell ref="B42:F42"/>
    <mergeCell ref="D16:F16"/>
    <mergeCell ref="D24:F24"/>
    <mergeCell ref="D25:F25"/>
    <mergeCell ref="D20:F20"/>
    <mergeCell ref="D21:F21"/>
    <mergeCell ref="D23:F23"/>
    <mergeCell ref="C31:H31"/>
    <mergeCell ref="C30:H30"/>
    <mergeCell ref="D28:F28"/>
    <mergeCell ref="D27:F27"/>
    <mergeCell ref="F33:H33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workbookViewId="0">
      <selection sqref="A1:H1"/>
    </sheetView>
  </sheetViews>
  <sheetFormatPr baseColWidth="10" defaultColWidth="14.44140625" defaultRowHeight="15" customHeight="1" x14ac:dyDescent="0.3"/>
  <cols>
    <col min="1" max="1" width="11.6640625" customWidth="1"/>
    <col min="2" max="2" width="18.33203125" customWidth="1"/>
    <col min="3" max="3" width="8.5546875" customWidth="1"/>
    <col min="4" max="4" width="15.44140625" customWidth="1"/>
    <col min="5" max="5" width="8.5546875" customWidth="1"/>
    <col min="6" max="6" width="3.6640625" customWidth="1"/>
    <col min="7" max="7" width="8.5546875" customWidth="1"/>
    <col min="8" max="8" width="11.33203125" customWidth="1"/>
    <col min="9" max="9" width="19.33203125" hidden="1" customWidth="1"/>
    <col min="10" max="10" width="18.88671875" hidden="1" customWidth="1"/>
    <col min="11" max="11" width="16.6640625" hidden="1" customWidth="1"/>
  </cols>
  <sheetData>
    <row r="1" spans="1:11" ht="22.8" x14ac:dyDescent="0.4">
      <c r="A1" s="344"/>
      <c r="B1" s="332"/>
      <c r="C1" s="332"/>
      <c r="D1" s="332"/>
      <c r="E1" s="332"/>
      <c r="F1" s="332"/>
      <c r="G1" s="332"/>
      <c r="H1" s="330"/>
      <c r="I1" s="4" t="s">
        <v>0</v>
      </c>
      <c r="J1" s="2"/>
      <c r="K1" s="2"/>
    </row>
    <row r="2" spans="1:11" ht="21" x14ac:dyDescent="0.4">
      <c r="A2" s="488" t="s">
        <v>138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1" ht="21" x14ac:dyDescent="0.4">
      <c r="A3" s="331" t="s">
        <v>3</v>
      </c>
      <c r="B3" s="332"/>
      <c r="C3" s="330"/>
      <c r="D3" s="438">
        <v>200</v>
      </c>
      <c r="E3" s="330"/>
      <c r="F3" s="345" t="s">
        <v>4</v>
      </c>
      <c r="G3" s="332"/>
      <c r="H3" s="330"/>
      <c r="I3" s="7" t="s">
        <v>5</v>
      </c>
      <c r="J3" s="2"/>
      <c r="K3" s="2"/>
    </row>
    <row r="4" spans="1:11" ht="20.25" customHeight="1" x14ac:dyDescent="0.4">
      <c r="A4" s="373" t="s">
        <v>6</v>
      </c>
      <c r="B4" s="332"/>
      <c r="C4" s="330"/>
      <c r="D4" s="438">
        <v>200</v>
      </c>
      <c r="E4" s="330"/>
      <c r="F4" s="345" t="s">
        <v>4</v>
      </c>
      <c r="G4" s="332"/>
      <c r="H4" s="330"/>
      <c r="I4" s="7"/>
      <c r="J4" s="2"/>
      <c r="K4" s="2"/>
    </row>
    <row r="5" spans="1:11" ht="20.25" customHeight="1" x14ac:dyDescent="0.4">
      <c r="A5" s="373" t="s">
        <v>7</v>
      </c>
      <c r="B5" s="332"/>
      <c r="C5" s="330"/>
      <c r="D5" s="430">
        <v>1</v>
      </c>
      <c r="E5" s="330"/>
      <c r="F5" s="345"/>
      <c r="G5" s="332"/>
      <c r="H5" s="330"/>
      <c r="I5" s="114"/>
      <c r="J5" s="2"/>
      <c r="K5" s="2"/>
    </row>
    <row r="6" spans="1:11" ht="21" x14ac:dyDescent="0.4">
      <c r="A6" s="345" t="s">
        <v>72</v>
      </c>
      <c r="B6" s="330"/>
      <c r="C6" s="345"/>
      <c r="D6" s="332"/>
      <c r="E6" s="332"/>
      <c r="F6" s="332"/>
      <c r="G6" s="332"/>
      <c r="H6" s="330"/>
      <c r="J6" s="2"/>
      <c r="K6" s="2"/>
    </row>
    <row r="7" spans="1:11" ht="21" x14ac:dyDescent="0.4">
      <c r="A7" s="345" t="s">
        <v>9</v>
      </c>
      <c r="B7" s="330"/>
      <c r="C7" s="345"/>
      <c r="D7" s="332"/>
      <c r="E7" s="332"/>
      <c r="F7" s="332"/>
      <c r="G7" s="332"/>
      <c r="H7" s="330"/>
      <c r="I7" s="366" t="s">
        <v>15</v>
      </c>
      <c r="J7" s="332"/>
      <c r="K7" s="330"/>
    </row>
    <row r="8" spans="1:11" ht="24" x14ac:dyDescent="0.4">
      <c r="A8" s="373" t="s">
        <v>61</v>
      </c>
      <c r="B8" s="330"/>
      <c r="C8" s="73" t="s">
        <v>11</v>
      </c>
      <c r="D8" s="409" t="s">
        <v>12</v>
      </c>
      <c r="E8" s="332"/>
      <c r="F8" s="330"/>
      <c r="G8" s="74" t="s">
        <v>13</v>
      </c>
      <c r="H8" s="62" t="s">
        <v>84</v>
      </c>
      <c r="I8" s="41" t="s">
        <v>16</v>
      </c>
      <c r="J8" s="41" t="s">
        <v>17</v>
      </c>
      <c r="K8" s="41" t="s">
        <v>18</v>
      </c>
    </row>
    <row r="9" spans="1:11" ht="14.4" x14ac:dyDescent="0.3">
      <c r="A9" s="521" t="s">
        <v>19</v>
      </c>
      <c r="B9" s="13" t="s">
        <v>20</v>
      </c>
      <c r="C9" s="13" t="s">
        <v>85</v>
      </c>
      <c r="D9" s="346">
        <f>D4</f>
        <v>200</v>
      </c>
      <c r="E9" s="332"/>
      <c r="F9" s="330"/>
      <c r="G9" s="61">
        <f>D5*1</f>
        <v>1</v>
      </c>
      <c r="H9" s="13">
        <v>90</v>
      </c>
      <c r="I9" s="13" t="s">
        <v>85</v>
      </c>
      <c r="J9" s="13" t="s">
        <v>139</v>
      </c>
      <c r="K9" s="43">
        <f>D9*D5</f>
        <v>200</v>
      </c>
    </row>
    <row r="10" spans="1:11" ht="14.4" x14ac:dyDescent="0.3">
      <c r="A10" s="354"/>
      <c r="B10" s="13" t="s">
        <v>23</v>
      </c>
      <c r="C10" s="13" t="s">
        <v>86</v>
      </c>
      <c r="D10" s="346">
        <f>D4</f>
        <v>200</v>
      </c>
      <c r="E10" s="332"/>
      <c r="F10" s="330"/>
      <c r="G10" s="13">
        <f>D5*1</f>
        <v>1</v>
      </c>
      <c r="H10" s="13">
        <v>90</v>
      </c>
      <c r="I10" s="13" t="s">
        <v>86</v>
      </c>
      <c r="J10" s="13" t="s">
        <v>140</v>
      </c>
      <c r="K10" s="43">
        <f>D10*D5</f>
        <v>200</v>
      </c>
    </row>
    <row r="11" spans="1:11" ht="14.4" x14ac:dyDescent="0.3">
      <c r="A11" s="342"/>
      <c r="B11" s="13" t="s">
        <v>26</v>
      </c>
      <c r="C11" s="13" t="s">
        <v>87</v>
      </c>
      <c r="D11" s="346">
        <f>D3-1</f>
        <v>199</v>
      </c>
      <c r="E11" s="332"/>
      <c r="F11" s="330"/>
      <c r="G11" s="13">
        <f>D5*2</f>
        <v>2</v>
      </c>
      <c r="H11" s="13">
        <v>90</v>
      </c>
      <c r="I11" s="13" t="s">
        <v>87</v>
      </c>
      <c r="J11" s="13" t="s">
        <v>141</v>
      </c>
      <c r="K11" s="43">
        <f>(D11*2)*D5</f>
        <v>398</v>
      </c>
    </row>
    <row r="12" spans="1:11" ht="14.4" x14ac:dyDescent="0.3">
      <c r="A12" s="375" t="s">
        <v>88</v>
      </c>
      <c r="B12" s="13" t="s">
        <v>142</v>
      </c>
      <c r="C12" s="13" t="s">
        <v>90</v>
      </c>
      <c r="D12" s="346">
        <f>D3-2.3</f>
        <v>197.7</v>
      </c>
      <c r="E12" s="332"/>
      <c r="F12" s="330"/>
      <c r="G12" s="13">
        <f>D5*2</f>
        <v>2</v>
      </c>
      <c r="H12" s="13">
        <v>90</v>
      </c>
      <c r="I12" s="13" t="s">
        <v>90</v>
      </c>
      <c r="J12" s="13" t="s">
        <v>142</v>
      </c>
      <c r="K12" s="43">
        <f>(D12*2)*D5</f>
        <v>395.4</v>
      </c>
    </row>
    <row r="13" spans="1:11" ht="14.4" x14ac:dyDescent="0.3">
      <c r="A13" s="354"/>
      <c r="B13" s="13" t="s">
        <v>143</v>
      </c>
      <c r="C13" s="13" t="s">
        <v>92</v>
      </c>
      <c r="D13" s="346">
        <f>D3-2.3</f>
        <v>197.7</v>
      </c>
      <c r="E13" s="332"/>
      <c r="F13" s="330"/>
      <c r="G13" s="13">
        <f>D5*2</f>
        <v>2</v>
      </c>
      <c r="H13" s="13">
        <v>90</v>
      </c>
      <c r="I13" s="13" t="s">
        <v>92</v>
      </c>
      <c r="J13" s="13" t="s">
        <v>143</v>
      </c>
      <c r="K13" s="43">
        <f>(D13*2)*D5</f>
        <v>395.4</v>
      </c>
    </row>
    <row r="14" spans="1:11" ht="14.4" x14ac:dyDescent="0.3">
      <c r="A14" s="354"/>
      <c r="B14" s="13" t="s">
        <v>93</v>
      </c>
      <c r="C14" s="13" t="s">
        <v>94</v>
      </c>
      <c r="D14" s="346">
        <f>(D4-0.5)/2</f>
        <v>99.75</v>
      </c>
      <c r="E14" s="332"/>
      <c r="F14" s="330"/>
      <c r="G14" s="13">
        <f>D5*2</f>
        <v>2</v>
      </c>
      <c r="H14" s="13">
        <v>90</v>
      </c>
      <c r="I14" s="13" t="s">
        <v>94</v>
      </c>
      <c r="J14" s="13" t="s">
        <v>93</v>
      </c>
      <c r="K14" s="43">
        <f>(D14*2)*D5</f>
        <v>199.5</v>
      </c>
    </row>
    <row r="15" spans="1:11" ht="14.4" x14ac:dyDescent="0.3">
      <c r="A15" s="342"/>
      <c r="B15" s="13" t="s">
        <v>95</v>
      </c>
      <c r="C15" s="13" t="s">
        <v>96</v>
      </c>
      <c r="D15" s="346">
        <f>(D4-0.5)/2</f>
        <v>99.75</v>
      </c>
      <c r="E15" s="332"/>
      <c r="F15" s="330"/>
      <c r="G15" s="13">
        <f>D5*2</f>
        <v>2</v>
      </c>
      <c r="H15" s="13">
        <v>90</v>
      </c>
      <c r="I15" s="13" t="s">
        <v>96</v>
      </c>
      <c r="J15" s="13" t="s">
        <v>95</v>
      </c>
      <c r="K15" s="91">
        <f>D15*2*D5</f>
        <v>199.5</v>
      </c>
    </row>
    <row r="16" spans="1:11" ht="14.4" x14ac:dyDescent="0.3">
      <c r="A16" s="359" t="s">
        <v>39</v>
      </c>
      <c r="B16" s="359" t="s">
        <v>97</v>
      </c>
      <c r="C16" s="341"/>
      <c r="D16" s="486" t="s">
        <v>3</v>
      </c>
      <c r="E16" s="487" t="s">
        <v>41</v>
      </c>
      <c r="F16" s="336"/>
      <c r="G16" s="485"/>
      <c r="H16" s="485"/>
      <c r="I16" s="115"/>
      <c r="J16" s="2"/>
      <c r="K16" s="2"/>
    </row>
    <row r="17" spans="1:11" ht="14.4" x14ac:dyDescent="0.3">
      <c r="A17" s="354"/>
      <c r="B17" s="354"/>
      <c r="C17" s="354"/>
      <c r="D17" s="342"/>
      <c r="E17" s="337"/>
      <c r="F17" s="339"/>
      <c r="G17" s="342"/>
      <c r="H17" s="354"/>
      <c r="I17" s="519"/>
      <c r="J17" s="2"/>
      <c r="K17" s="2"/>
    </row>
    <row r="18" spans="1:11" ht="14.4" x14ac:dyDescent="0.3">
      <c r="A18" s="342"/>
      <c r="B18" s="342"/>
      <c r="C18" s="342"/>
      <c r="D18" s="19">
        <f>D3-10.2</f>
        <v>189.8</v>
      </c>
      <c r="E18" s="357">
        <f>D14-6.3</f>
        <v>93.45</v>
      </c>
      <c r="F18" s="330"/>
      <c r="G18" s="18">
        <f>D5*2</f>
        <v>2</v>
      </c>
      <c r="H18" s="342"/>
      <c r="I18" s="327"/>
      <c r="J18" s="2"/>
      <c r="K18" s="2"/>
    </row>
    <row r="19" spans="1:11" ht="14.4" x14ac:dyDescent="0.3">
      <c r="A19" s="77" t="s">
        <v>42</v>
      </c>
      <c r="B19" s="13">
        <v>8025</v>
      </c>
      <c r="C19" s="13"/>
      <c r="D19" s="346"/>
      <c r="E19" s="332"/>
      <c r="F19" s="330"/>
      <c r="G19" s="53">
        <f>(D18*4)+(E18*4)*D5</f>
        <v>1133</v>
      </c>
      <c r="H19" s="13" t="s">
        <v>43</v>
      </c>
      <c r="I19" s="115"/>
      <c r="J19" s="2"/>
      <c r="K19" s="2"/>
    </row>
    <row r="20" spans="1:11" ht="14.4" x14ac:dyDescent="0.3">
      <c r="A20" s="520" t="s">
        <v>44</v>
      </c>
      <c r="B20" s="13" t="s">
        <v>98</v>
      </c>
      <c r="C20" s="13"/>
      <c r="D20" s="333"/>
      <c r="E20" s="332"/>
      <c r="F20" s="330"/>
      <c r="G20" s="13">
        <f>D5*12</f>
        <v>12</v>
      </c>
      <c r="H20" s="13"/>
      <c r="I20" s="519"/>
      <c r="J20" s="2"/>
      <c r="K20" s="2"/>
    </row>
    <row r="21" spans="1:11" ht="15.75" customHeight="1" x14ac:dyDescent="0.3">
      <c r="A21" s="354"/>
      <c r="B21" s="13" t="s">
        <v>99</v>
      </c>
      <c r="C21" s="13"/>
      <c r="D21" s="333"/>
      <c r="E21" s="332"/>
      <c r="F21" s="330"/>
      <c r="G21" s="13">
        <f>D5*10</f>
        <v>10</v>
      </c>
      <c r="H21" s="13"/>
      <c r="I21" s="327"/>
      <c r="J21" s="2"/>
      <c r="K21" s="2">
        <f>3.8+5.9-1.5</f>
        <v>8.1999999999999993</v>
      </c>
    </row>
    <row r="22" spans="1:11" ht="15.75" customHeight="1" x14ac:dyDescent="0.3">
      <c r="A22" s="342"/>
      <c r="B22" s="13" t="s">
        <v>100</v>
      </c>
      <c r="C22" s="13"/>
      <c r="D22" s="333"/>
      <c r="E22" s="332"/>
      <c r="F22" s="330"/>
      <c r="G22" s="13">
        <f>D5*6</f>
        <v>6</v>
      </c>
      <c r="H22" s="13"/>
      <c r="I22" s="327"/>
      <c r="J22" s="2"/>
      <c r="K22" s="2"/>
    </row>
    <row r="23" spans="1:11" ht="15.75" customHeight="1" x14ac:dyDescent="0.3">
      <c r="A23" s="77" t="s">
        <v>70</v>
      </c>
      <c r="B23" s="13" t="s">
        <v>101</v>
      </c>
      <c r="C23" s="13"/>
      <c r="D23" s="333"/>
      <c r="E23" s="332"/>
      <c r="F23" s="330"/>
      <c r="G23" s="13">
        <f>D5*10</f>
        <v>10</v>
      </c>
      <c r="H23" s="13"/>
      <c r="I23" s="115"/>
      <c r="J23" s="2"/>
      <c r="K23" s="2"/>
    </row>
    <row r="24" spans="1:11" ht="15.75" customHeight="1" x14ac:dyDescent="0.3">
      <c r="A24" s="79" t="s">
        <v>50</v>
      </c>
      <c r="B24" s="13" t="s">
        <v>144</v>
      </c>
      <c r="C24" s="13"/>
      <c r="D24" s="333"/>
      <c r="E24" s="332"/>
      <c r="F24" s="330"/>
      <c r="G24" s="13">
        <f>D5*2</f>
        <v>2</v>
      </c>
      <c r="H24" s="13"/>
      <c r="I24" s="115"/>
      <c r="J24" s="2"/>
      <c r="K24" s="2"/>
    </row>
    <row r="25" spans="1:11" ht="15.75" customHeight="1" x14ac:dyDescent="0.3">
      <c r="A25" s="520" t="s">
        <v>53</v>
      </c>
      <c r="B25" s="13" t="s">
        <v>145</v>
      </c>
      <c r="C25" s="13"/>
      <c r="D25" s="333"/>
      <c r="E25" s="332"/>
      <c r="F25" s="330"/>
      <c r="G25" s="13">
        <f>D5*2</f>
        <v>2</v>
      </c>
      <c r="H25" s="13"/>
      <c r="I25" s="519"/>
      <c r="J25" s="2"/>
      <c r="K25" s="2"/>
    </row>
    <row r="26" spans="1:11" ht="15.75" customHeight="1" x14ac:dyDescent="0.3">
      <c r="A26" s="342"/>
      <c r="B26" s="13" t="s">
        <v>146</v>
      </c>
      <c r="C26" s="13"/>
      <c r="D26" s="333"/>
      <c r="E26" s="332"/>
      <c r="F26" s="330"/>
      <c r="G26" s="13">
        <f>D5*2</f>
        <v>2</v>
      </c>
      <c r="H26" s="13"/>
      <c r="I26" s="327"/>
      <c r="J26" s="2"/>
      <c r="K26" s="2"/>
    </row>
    <row r="27" spans="1:11" ht="15.75" customHeight="1" x14ac:dyDescent="0.3">
      <c r="A27" s="77" t="s">
        <v>54</v>
      </c>
      <c r="B27" s="13" t="s">
        <v>105</v>
      </c>
      <c r="C27" s="13"/>
      <c r="D27" s="333"/>
      <c r="E27" s="332"/>
      <c r="F27" s="330"/>
      <c r="G27" s="13">
        <f>D5*1</f>
        <v>1</v>
      </c>
      <c r="H27" s="13"/>
      <c r="I27" s="115"/>
      <c r="J27" s="2"/>
      <c r="K27" s="2"/>
    </row>
    <row r="28" spans="1:11" ht="15.75" customHeight="1" x14ac:dyDescent="0.3">
      <c r="A28" s="331" t="s">
        <v>56</v>
      </c>
      <c r="B28" s="330"/>
      <c r="C28" s="331"/>
      <c r="D28" s="332"/>
      <c r="E28" s="332"/>
      <c r="F28" s="332"/>
      <c r="G28" s="332"/>
      <c r="H28" s="330"/>
      <c r="I28" s="115"/>
      <c r="J28" s="2"/>
      <c r="K28" s="2"/>
    </row>
    <row r="29" spans="1:11" ht="15.75" customHeight="1" x14ac:dyDescent="0.3">
      <c r="A29" s="331" t="s">
        <v>57</v>
      </c>
      <c r="B29" s="330"/>
      <c r="C29" s="331"/>
      <c r="D29" s="332"/>
      <c r="E29" s="332"/>
      <c r="F29" s="332"/>
      <c r="G29" s="332"/>
      <c r="H29" s="330"/>
      <c r="I29" s="115"/>
      <c r="J29" s="2"/>
      <c r="K29" s="2"/>
    </row>
    <row r="30" spans="1:11" ht="15" customHeight="1" x14ac:dyDescent="0.3">
      <c r="A30" s="360" t="s">
        <v>58</v>
      </c>
      <c r="B30" s="327"/>
      <c r="C30" s="327"/>
      <c r="D30" s="327"/>
      <c r="E30" s="361"/>
      <c r="F30" s="331"/>
      <c r="G30" s="332"/>
      <c r="H30" s="330"/>
      <c r="I30" s="34"/>
      <c r="J30" s="2"/>
      <c r="K30" s="2"/>
    </row>
    <row r="31" spans="1:11" ht="15.75" customHeight="1" x14ac:dyDescent="0.3">
      <c r="A31" s="337"/>
      <c r="B31" s="338"/>
      <c r="C31" s="338"/>
      <c r="D31" s="338"/>
      <c r="E31" s="339"/>
      <c r="F31" s="331" t="s">
        <v>59</v>
      </c>
      <c r="G31" s="332"/>
      <c r="H31" s="330"/>
      <c r="I31" s="2"/>
      <c r="J31" s="2"/>
      <c r="K31" s="2"/>
    </row>
    <row r="32" spans="1:11" ht="15.75" customHeight="1" x14ac:dyDescent="0.35">
      <c r="A32" s="80"/>
      <c r="B32" s="2"/>
      <c r="C32" s="2"/>
      <c r="D32" s="2"/>
      <c r="E32" s="2"/>
      <c r="F32" s="2"/>
      <c r="G32" s="2"/>
      <c r="H32" s="32"/>
      <c r="I32" s="2"/>
      <c r="J32" s="2"/>
      <c r="K32" s="2"/>
    </row>
    <row r="33" spans="1:11" ht="15.75" customHeight="1" x14ac:dyDescent="0.35">
      <c r="A33" s="80"/>
      <c r="B33" s="2"/>
      <c r="C33" s="56"/>
      <c r="D33" s="2"/>
      <c r="E33" s="2"/>
      <c r="F33" s="2"/>
      <c r="G33" s="2"/>
      <c r="H33" s="32"/>
      <c r="I33" s="2"/>
      <c r="J33" s="2"/>
      <c r="K33" s="2"/>
    </row>
    <row r="34" spans="1:11" ht="15.75" customHeight="1" x14ac:dyDescent="0.35">
      <c r="A34" s="80"/>
      <c r="B34" s="2"/>
      <c r="C34" s="2"/>
      <c r="D34" s="2"/>
      <c r="E34" s="2"/>
      <c r="F34" s="2"/>
      <c r="G34" s="116"/>
      <c r="H34" s="32"/>
      <c r="I34" s="2"/>
      <c r="J34" s="2"/>
      <c r="K34" s="2"/>
    </row>
    <row r="35" spans="1:11" ht="15.75" customHeight="1" x14ac:dyDescent="0.35">
      <c r="A35" s="80"/>
      <c r="B35" s="2"/>
      <c r="C35" s="2"/>
      <c r="D35" s="2"/>
      <c r="E35" s="2"/>
      <c r="F35" s="2"/>
      <c r="G35" s="117"/>
      <c r="H35" s="32"/>
      <c r="I35" s="2"/>
      <c r="J35" s="2"/>
      <c r="K35" s="2"/>
    </row>
    <row r="36" spans="1:11" ht="15.75" customHeight="1" x14ac:dyDescent="0.4">
      <c r="A36" s="80"/>
      <c r="B36" s="2"/>
      <c r="C36" s="2"/>
      <c r="D36" s="2"/>
      <c r="E36" s="328">
        <f>D3</f>
        <v>200</v>
      </c>
      <c r="F36" s="327"/>
      <c r="G36" s="327"/>
      <c r="H36" s="32"/>
      <c r="I36" s="2"/>
      <c r="J36" s="2"/>
      <c r="K36" s="2"/>
    </row>
    <row r="37" spans="1:11" ht="15.75" customHeight="1" x14ac:dyDescent="0.35">
      <c r="A37" s="80"/>
      <c r="B37" s="2"/>
      <c r="C37" s="2"/>
      <c r="D37" s="2"/>
      <c r="E37" s="2"/>
      <c r="F37" s="2"/>
      <c r="G37" s="117"/>
      <c r="H37" s="32"/>
      <c r="I37" s="2"/>
      <c r="J37" s="2"/>
      <c r="K37" s="2"/>
    </row>
    <row r="38" spans="1:11" ht="15.75" customHeight="1" x14ac:dyDescent="0.35">
      <c r="A38" s="80"/>
      <c r="B38" s="2"/>
      <c r="C38" s="2"/>
      <c r="D38" s="2"/>
      <c r="E38" s="2"/>
      <c r="F38" s="2"/>
      <c r="G38" s="117"/>
      <c r="H38" s="32"/>
      <c r="I38" s="2"/>
      <c r="J38" s="2"/>
      <c r="K38" s="2"/>
    </row>
    <row r="39" spans="1:11" ht="15.75" customHeight="1" x14ac:dyDescent="0.35">
      <c r="A39" s="80"/>
      <c r="B39" s="2"/>
      <c r="C39" s="2"/>
      <c r="D39" s="2"/>
      <c r="E39" s="2"/>
      <c r="F39" s="2"/>
      <c r="G39" s="117"/>
      <c r="H39" s="32"/>
      <c r="I39" s="2"/>
      <c r="J39" s="2"/>
      <c r="K39" s="2"/>
    </row>
    <row r="40" spans="1:11" ht="15.75" customHeight="1" x14ac:dyDescent="0.35">
      <c r="A40" s="80"/>
      <c r="B40" s="2"/>
      <c r="C40" s="2"/>
      <c r="D40" s="2"/>
      <c r="E40" s="2"/>
      <c r="F40" s="2"/>
      <c r="G40" s="117"/>
      <c r="H40" s="32"/>
      <c r="I40" s="2"/>
      <c r="J40" s="2"/>
      <c r="K40" s="2"/>
    </row>
    <row r="41" spans="1:11" ht="15.75" customHeight="1" x14ac:dyDescent="0.4">
      <c r="A41" s="80"/>
      <c r="B41" s="2"/>
      <c r="C41" s="328">
        <f>D4</f>
        <v>200</v>
      </c>
      <c r="D41" s="327"/>
      <c r="E41" s="327"/>
      <c r="F41" s="2"/>
      <c r="G41" s="117"/>
      <c r="H41" s="32"/>
      <c r="I41" s="2"/>
      <c r="J41" s="2"/>
      <c r="K41" s="2"/>
    </row>
    <row r="42" spans="1:11" ht="15.75" customHeight="1" x14ac:dyDescent="0.35">
      <c r="A42" s="80"/>
      <c r="B42" s="2"/>
      <c r="C42" s="56"/>
      <c r="D42" s="2"/>
      <c r="E42" s="2"/>
      <c r="F42" s="2"/>
      <c r="G42" s="2"/>
      <c r="H42" s="32"/>
      <c r="I42" s="2"/>
      <c r="J42" s="2"/>
      <c r="K42" s="2"/>
    </row>
    <row r="43" spans="1:11" ht="15.75" customHeight="1" x14ac:dyDescent="0.35">
      <c r="A43" s="80"/>
      <c r="B43" s="2"/>
      <c r="C43" s="2"/>
      <c r="D43" s="2"/>
      <c r="E43" s="2"/>
      <c r="F43" s="2"/>
      <c r="G43" s="2"/>
      <c r="H43" s="32"/>
      <c r="I43" s="2"/>
      <c r="J43" s="2"/>
      <c r="K43" s="2"/>
    </row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58">
    <mergeCell ref="A20:A22"/>
    <mergeCell ref="D23:F23"/>
    <mergeCell ref="D24:F24"/>
    <mergeCell ref="A12:A15"/>
    <mergeCell ref="A9:A11"/>
    <mergeCell ref="D15:F15"/>
    <mergeCell ref="B16:B18"/>
    <mergeCell ref="E16:F17"/>
    <mergeCell ref="C16:C18"/>
    <mergeCell ref="E18:F18"/>
    <mergeCell ref="D16:D17"/>
    <mergeCell ref="A16:A18"/>
    <mergeCell ref="D9:F9"/>
    <mergeCell ref="E36:G36"/>
    <mergeCell ref="D27:F27"/>
    <mergeCell ref="A30:E31"/>
    <mergeCell ref="A25:A26"/>
    <mergeCell ref="C41:E41"/>
    <mergeCell ref="A29:B29"/>
    <mergeCell ref="A28:B28"/>
    <mergeCell ref="F30:H30"/>
    <mergeCell ref="F31:H31"/>
    <mergeCell ref="C29:H29"/>
    <mergeCell ref="C28:H28"/>
    <mergeCell ref="D26:F26"/>
    <mergeCell ref="C6:H6"/>
    <mergeCell ref="C7:H7"/>
    <mergeCell ref="A8:B8"/>
    <mergeCell ref="A7:B7"/>
    <mergeCell ref="F5:H5"/>
    <mergeCell ref="A6:B6"/>
    <mergeCell ref="D8:F8"/>
    <mergeCell ref="A1:H1"/>
    <mergeCell ref="A2:H2"/>
    <mergeCell ref="D4:E4"/>
    <mergeCell ref="A5:C5"/>
    <mergeCell ref="D5:E5"/>
    <mergeCell ref="A4:C4"/>
    <mergeCell ref="A3:C3"/>
    <mergeCell ref="F4:H4"/>
    <mergeCell ref="D3:E3"/>
    <mergeCell ref="F3:H3"/>
    <mergeCell ref="I7:K7"/>
    <mergeCell ref="I25:I26"/>
    <mergeCell ref="I17:I18"/>
    <mergeCell ref="I20:I22"/>
    <mergeCell ref="D22:F22"/>
    <mergeCell ref="D21:F21"/>
    <mergeCell ref="D10:F10"/>
    <mergeCell ref="G16:G17"/>
    <mergeCell ref="H16:H18"/>
    <mergeCell ref="D19:F19"/>
    <mergeCell ref="D20:F20"/>
    <mergeCell ref="D14:F14"/>
    <mergeCell ref="D11:F11"/>
    <mergeCell ref="D13:F13"/>
    <mergeCell ref="D12:F12"/>
    <mergeCell ref="D25:F25"/>
  </mergeCell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topLeftCell="A34" workbookViewId="0">
      <selection sqref="A1:H1"/>
    </sheetView>
  </sheetViews>
  <sheetFormatPr baseColWidth="10" defaultColWidth="14.44140625" defaultRowHeight="15" customHeight="1" x14ac:dyDescent="0.3"/>
  <cols>
    <col min="1" max="1" width="16.6640625" customWidth="1"/>
    <col min="2" max="2" width="19.5546875" customWidth="1"/>
    <col min="3" max="3" width="8.5546875" customWidth="1"/>
    <col min="4" max="4" width="18" customWidth="1"/>
    <col min="5" max="5" width="8.5546875" customWidth="1"/>
    <col min="6" max="6" width="5" customWidth="1"/>
    <col min="7" max="8" width="8.5546875" customWidth="1"/>
    <col min="9" max="9" width="16.109375" customWidth="1"/>
    <col min="10" max="10" width="20.5546875" customWidth="1"/>
    <col min="11" max="11" width="16.109375" customWidth="1"/>
  </cols>
  <sheetData>
    <row r="1" spans="1:11" ht="22.8" x14ac:dyDescent="0.4">
      <c r="A1" s="344"/>
      <c r="B1" s="332"/>
      <c r="C1" s="332"/>
      <c r="D1" s="332"/>
      <c r="E1" s="332"/>
      <c r="F1" s="332"/>
      <c r="G1" s="332"/>
      <c r="H1" s="330"/>
      <c r="I1" s="4"/>
      <c r="J1" s="2"/>
    </row>
    <row r="2" spans="1:11" ht="21" x14ac:dyDescent="0.4">
      <c r="A2" s="488" t="s">
        <v>147</v>
      </c>
      <c r="B2" s="332"/>
      <c r="C2" s="332"/>
      <c r="D2" s="332"/>
      <c r="E2" s="332"/>
      <c r="F2" s="332"/>
      <c r="G2" s="332"/>
      <c r="H2" s="330"/>
      <c r="I2" s="4"/>
      <c r="J2" s="2"/>
    </row>
    <row r="3" spans="1:11" ht="21" x14ac:dyDescent="0.4">
      <c r="A3" s="331" t="s">
        <v>3</v>
      </c>
      <c r="B3" s="332"/>
      <c r="C3" s="330"/>
      <c r="D3" s="37">
        <v>300</v>
      </c>
      <c r="E3" s="489" t="s">
        <v>4</v>
      </c>
      <c r="F3" s="332"/>
      <c r="G3" s="332"/>
      <c r="H3" s="330"/>
      <c r="I3" s="118"/>
      <c r="J3" s="2"/>
    </row>
    <row r="4" spans="1:11" ht="20.25" customHeight="1" x14ac:dyDescent="0.4">
      <c r="A4" s="373" t="s">
        <v>6</v>
      </c>
      <c r="B4" s="332"/>
      <c r="C4" s="330"/>
      <c r="D4" s="37">
        <v>291.39999999999998</v>
      </c>
      <c r="E4" s="489" t="s">
        <v>4</v>
      </c>
      <c r="F4" s="332"/>
      <c r="G4" s="332"/>
      <c r="H4" s="330"/>
      <c r="I4" s="72"/>
      <c r="J4" s="2"/>
    </row>
    <row r="5" spans="1:11" ht="20.25" customHeight="1" x14ac:dyDescent="0.4">
      <c r="A5" s="373" t="s">
        <v>7</v>
      </c>
      <c r="B5" s="332"/>
      <c r="C5" s="330"/>
      <c r="D5" s="88">
        <v>1</v>
      </c>
      <c r="E5" s="345"/>
      <c r="F5" s="332"/>
      <c r="G5" s="332"/>
      <c r="H5" s="330"/>
      <c r="I5" s="89"/>
      <c r="J5" s="2"/>
    </row>
    <row r="6" spans="1:11" ht="21" x14ac:dyDescent="0.4">
      <c r="A6" s="345" t="s">
        <v>72</v>
      </c>
      <c r="B6" s="330"/>
      <c r="C6" s="345"/>
      <c r="D6" s="332"/>
      <c r="E6" s="332"/>
      <c r="F6" s="332"/>
      <c r="G6" s="332"/>
      <c r="H6" s="330"/>
      <c r="J6" s="2"/>
    </row>
    <row r="7" spans="1:11" ht="21" x14ac:dyDescent="0.4">
      <c r="A7" s="345" t="s">
        <v>9</v>
      </c>
      <c r="B7" s="330"/>
      <c r="C7" s="345"/>
      <c r="D7" s="332"/>
      <c r="E7" s="332"/>
      <c r="F7" s="332"/>
      <c r="G7" s="332"/>
      <c r="H7" s="330"/>
      <c r="I7" s="366"/>
      <c r="J7" s="332"/>
      <c r="K7" s="330"/>
    </row>
    <row r="8" spans="1:11" ht="24" x14ac:dyDescent="0.4">
      <c r="A8" s="373" t="s">
        <v>61</v>
      </c>
      <c r="B8" s="330"/>
      <c r="C8" s="60" t="s">
        <v>11</v>
      </c>
      <c r="D8" s="409" t="s">
        <v>12</v>
      </c>
      <c r="E8" s="332"/>
      <c r="F8" s="330"/>
      <c r="G8" s="90" t="s">
        <v>13</v>
      </c>
      <c r="H8" s="62" t="s">
        <v>107</v>
      </c>
      <c r="I8" s="41"/>
      <c r="J8" s="41"/>
      <c r="K8" s="41"/>
    </row>
    <row r="9" spans="1:11" ht="14.4" x14ac:dyDescent="0.3">
      <c r="A9" s="524" t="s">
        <v>19</v>
      </c>
      <c r="B9" s="13" t="s">
        <v>20</v>
      </c>
      <c r="C9" s="13" t="s">
        <v>85</v>
      </c>
      <c r="D9" s="346">
        <f>D4</f>
        <v>291.39999999999998</v>
      </c>
      <c r="E9" s="332"/>
      <c r="F9" s="330"/>
      <c r="G9" s="13">
        <f>D5*1</f>
        <v>1</v>
      </c>
      <c r="H9" s="13">
        <v>90</v>
      </c>
      <c r="I9" s="13"/>
      <c r="J9" s="13"/>
      <c r="K9" s="43"/>
    </row>
    <row r="10" spans="1:11" ht="14.4" x14ac:dyDescent="0.3">
      <c r="A10" s="354"/>
      <c r="B10" s="13" t="s">
        <v>23</v>
      </c>
      <c r="C10" s="13" t="s">
        <v>86</v>
      </c>
      <c r="D10" s="346">
        <f>D4</f>
        <v>291.39999999999998</v>
      </c>
      <c r="E10" s="332"/>
      <c r="F10" s="330"/>
      <c r="G10" s="13">
        <f>D5*1</f>
        <v>1</v>
      </c>
      <c r="H10" s="13">
        <v>90</v>
      </c>
      <c r="I10" s="13"/>
      <c r="J10" s="13"/>
      <c r="K10" s="43"/>
    </row>
    <row r="11" spans="1:11" ht="14.4" x14ac:dyDescent="0.3">
      <c r="A11" s="342"/>
      <c r="B11" s="13" t="s">
        <v>26</v>
      </c>
      <c r="C11" s="13" t="s">
        <v>87</v>
      </c>
      <c r="D11" s="346">
        <f>D3-1.2</f>
        <v>298.8</v>
      </c>
      <c r="E11" s="332"/>
      <c r="F11" s="330"/>
      <c r="G11" s="13">
        <f>D5*2</f>
        <v>2</v>
      </c>
      <c r="H11" s="13">
        <v>90</v>
      </c>
      <c r="I11" s="13"/>
      <c r="J11" s="13"/>
      <c r="K11" s="43"/>
    </row>
    <row r="12" spans="1:11" ht="14.4" x14ac:dyDescent="0.3">
      <c r="A12" s="369" t="s">
        <v>66</v>
      </c>
      <c r="B12" s="13" t="s">
        <v>142</v>
      </c>
      <c r="C12" s="13" t="s">
        <v>90</v>
      </c>
      <c r="D12" s="346">
        <f>D3-2.7</f>
        <v>297.3</v>
      </c>
      <c r="E12" s="332"/>
      <c r="F12" s="330"/>
      <c r="G12" s="13">
        <f>D5*1</f>
        <v>1</v>
      </c>
      <c r="H12" s="13">
        <v>90</v>
      </c>
      <c r="I12" s="13"/>
      <c r="J12" s="13"/>
      <c r="K12" s="43"/>
    </row>
    <row r="13" spans="1:11" ht="14.4" x14ac:dyDescent="0.3">
      <c r="A13" s="354"/>
      <c r="B13" s="13" t="s">
        <v>143</v>
      </c>
      <c r="C13" s="13" t="s">
        <v>92</v>
      </c>
      <c r="D13" s="346">
        <f>D3-2.7</f>
        <v>297.3</v>
      </c>
      <c r="E13" s="332"/>
      <c r="F13" s="330"/>
      <c r="G13" s="13">
        <f>D5*1</f>
        <v>1</v>
      </c>
      <c r="H13" s="13">
        <v>90</v>
      </c>
      <c r="I13" s="13"/>
      <c r="J13" s="13"/>
      <c r="K13" s="43"/>
    </row>
    <row r="14" spans="1:11" ht="14.4" x14ac:dyDescent="0.3">
      <c r="A14" s="354"/>
      <c r="B14" s="13" t="s">
        <v>93</v>
      </c>
      <c r="C14" s="13" t="s">
        <v>94</v>
      </c>
      <c r="D14" s="346">
        <f>(D4+2.3)/3</f>
        <v>97.899999999999991</v>
      </c>
      <c r="E14" s="332"/>
      <c r="F14" s="330"/>
      <c r="G14" s="13">
        <f>D5*1</f>
        <v>1</v>
      </c>
      <c r="H14" s="13">
        <v>90</v>
      </c>
      <c r="I14" s="13"/>
      <c r="J14" s="13"/>
      <c r="K14" s="43"/>
    </row>
    <row r="15" spans="1:11" ht="14.4" x14ac:dyDescent="0.3">
      <c r="A15" s="342"/>
      <c r="B15" s="13" t="s">
        <v>95</v>
      </c>
      <c r="C15" s="13" t="s">
        <v>96</v>
      </c>
      <c r="D15" s="346">
        <f>D14</f>
        <v>97.899999999999991</v>
      </c>
      <c r="E15" s="332"/>
      <c r="F15" s="330"/>
      <c r="G15" s="13">
        <f>D5*1</f>
        <v>1</v>
      </c>
      <c r="H15" s="13">
        <v>90</v>
      </c>
      <c r="I15" s="13"/>
      <c r="J15" s="13"/>
      <c r="K15" s="91"/>
    </row>
    <row r="16" spans="1:11" ht="14.4" x14ac:dyDescent="0.3">
      <c r="A16" s="369" t="s">
        <v>108</v>
      </c>
      <c r="B16" s="13" t="s">
        <v>142</v>
      </c>
      <c r="C16" s="13" t="s">
        <v>90</v>
      </c>
      <c r="D16" s="346">
        <f>D3-2.7</f>
        <v>297.3</v>
      </c>
      <c r="E16" s="332"/>
      <c r="F16" s="330"/>
      <c r="G16" s="13">
        <f>D5*3</f>
        <v>3</v>
      </c>
      <c r="H16" s="13">
        <v>90</v>
      </c>
      <c r="I16" s="13"/>
      <c r="J16" s="13"/>
      <c r="K16" s="14"/>
    </row>
    <row r="17" spans="1:10" ht="14.4" x14ac:dyDescent="0.3">
      <c r="A17" s="354"/>
      <c r="B17" s="13" t="s">
        <v>143</v>
      </c>
      <c r="C17" s="13" t="s">
        <v>92</v>
      </c>
      <c r="D17" s="346">
        <f>D3-2.7</f>
        <v>297.3</v>
      </c>
      <c r="E17" s="332"/>
      <c r="F17" s="330"/>
      <c r="G17" s="13">
        <f>D5*1</f>
        <v>1</v>
      </c>
      <c r="H17" s="13">
        <v>90</v>
      </c>
      <c r="I17" s="34"/>
      <c r="J17" s="2"/>
    </row>
    <row r="18" spans="1:10" ht="14.4" x14ac:dyDescent="0.3">
      <c r="A18" s="354"/>
      <c r="B18" s="13" t="s">
        <v>93</v>
      </c>
      <c r="C18" s="13" t="s">
        <v>94</v>
      </c>
      <c r="D18" s="346">
        <f>(D4+2.3)/3</f>
        <v>97.899999999999991</v>
      </c>
      <c r="E18" s="332"/>
      <c r="F18" s="330"/>
      <c r="G18" s="13">
        <f>D5*2</f>
        <v>2</v>
      </c>
      <c r="H18" s="13">
        <v>90</v>
      </c>
      <c r="I18" s="34"/>
      <c r="J18" s="2"/>
    </row>
    <row r="19" spans="1:10" ht="14.4" x14ac:dyDescent="0.3">
      <c r="A19" s="354"/>
      <c r="B19" s="13" t="s">
        <v>95</v>
      </c>
      <c r="C19" s="13" t="s">
        <v>96</v>
      </c>
      <c r="D19" s="346">
        <f>(D4+2.3)/3</f>
        <v>97.899999999999991</v>
      </c>
      <c r="E19" s="332"/>
      <c r="F19" s="330"/>
      <c r="G19" s="13">
        <f>D5*2</f>
        <v>2</v>
      </c>
      <c r="H19" s="13">
        <v>90</v>
      </c>
      <c r="I19" s="34"/>
      <c r="J19" s="2"/>
    </row>
    <row r="20" spans="1:10" ht="14.4" x14ac:dyDescent="0.3">
      <c r="A20" s="342"/>
      <c r="B20" s="13" t="s">
        <v>110</v>
      </c>
      <c r="C20" s="13" t="s">
        <v>111</v>
      </c>
      <c r="D20" s="346">
        <f>D16</f>
        <v>297.3</v>
      </c>
      <c r="E20" s="332"/>
      <c r="F20" s="330"/>
      <c r="G20" s="13">
        <f>D5*1</f>
        <v>1</v>
      </c>
      <c r="H20" s="13">
        <v>90</v>
      </c>
      <c r="I20" s="34"/>
      <c r="J20" s="2"/>
    </row>
    <row r="21" spans="1:10" ht="15.75" customHeight="1" x14ac:dyDescent="0.3">
      <c r="A21" s="523" t="s">
        <v>39</v>
      </c>
      <c r="B21" s="359" t="s">
        <v>148</v>
      </c>
      <c r="C21" s="341"/>
      <c r="D21" s="379" t="s">
        <v>3</v>
      </c>
      <c r="E21" s="377" t="s">
        <v>41</v>
      </c>
      <c r="F21" s="336"/>
      <c r="G21" s="485"/>
      <c r="H21" s="485"/>
      <c r="I21" s="34"/>
      <c r="J21" s="2"/>
    </row>
    <row r="22" spans="1:10" ht="15.75" customHeight="1" x14ac:dyDescent="0.3">
      <c r="A22" s="354"/>
      <c r="B22" s="342"/>
      <c r="C22" s="342"/>
      <c r="D22" s="342"/>
      <c r="E22" s="337"/>
      <c r="F22" s="339"/>
      <c r="G22" s="342"/>
      <c r="H22" s="342"/>
      <c r="I22" s="34"/>
      <c r="J22" s="2"/>
    </row>
    <row r="23" spans="1:10" ht="15.75" customHeight="1" x14ac:dyDescent="0.3">
      <c r="A23" s="354"/>
      <c r="B23" s="94" t="s">
        <v>113</v>
      </c>
      <c r="C23" s="95"/>
      <c r="D23" s="19">
        <f>D12-8.3</f>
        <v>289</v>
      </c>
      <c r="E23" s="357">
        <f>D14-5.7</f>
        <v>92.199999999999989</v>
      </c>
      <c r="F23" s="330"/>
      <c r="G23" s="18">
        <f>D5*1</f>
        <v>1</v>
      </c>
      <c r="H23" s="18"/>
      <c r="I23" s="522"/>
      <c r="J23" s="2"/>
    </row>
    <row r="24" spans="1:10" ht="15.75" customHeight="1" x14ac:dyDescent="0.3">
      <c r="A24" s="354"/>
      <c r="B24" s="94" t="s">
        <v>114</v>
      </c>
      <c r="C24" s="94"/>
      <c r="D24" s="19">
        <f t="shared" ref="D24:D25" si="0">D16-8.3</f>
        <v>289</v>
      </c>
      <c r="E24" s="357">
        <f>D18-5.7</f>
        <v>92.199999999999989</v>
      </c>
      <c r="F24" s="330"/>
      <c r="G24" s="18">
        <f>D5*1</f>
        <v>1</v>
      </c>
      <c r="H24" s="18"/>
      <c r="I24" s="327"/>
      <c r="J24" s="2"/>
    </row>
    <row r="25" spans="1:10" ht="15.75" customHeight="1" x14ac:dyDescent="0.3">
      <c r="A25" s="342"/>
      <c r="B25" s="94" t="s">
        <v>115</v>
      </c>
      <c r="C25" s="94"/>
      <c r="D25" s="19">
        <f t="shared" si="0"/>
        <v>289</v>
      </c>
      <c r="E25" s="357">
        <f>D18-5.7</f>
        <v>92.199999999999989</v>
      </c>
      <c r="F25" s="330"/>
      <c r="G25" s="18">
        <f>D5*1</f>
        <v>1</v>
      </c>
      <c r="H25" s="18"/>
      <c r="I25" s="327"/>
      <c r="J25" s="2"/>
    </row>
    <row r="26" spans="1:10" ht="15.75" customHeight="1" x14ac:dyDescent="0.3">
      <c r="A26" s="66" t="s">
        <v>42</v>
      </c>
      <c r="B26" s="13">
        <v>8025</v>
      </c>
      <c r="C26" s="13"/>
      <c r="D26" s="346"/>
      <c r="E26" s="332"/>
      <c r="F26" s="330"/>
      <c r="G26" s="13">
        <f>(D23*6)+(E23*6)*D5</f>
        <v>2287.1999999999998</v>
      </c>
      <c r="H26" s="13" t="s">
        <v>43</v>
      </c>
      <c r="I26" s="34"/>
      <c r="J26" s="2"/>
    </row>
    <row r="27" spans="1:10" ht="15.75" customHeight="1" x14ac:dyDescent="0.3">
      <c r="A27" s="369" t="s">
        <v>44</v>
      </c>
      <c r="B27" s="13" t="s">
        <v>45</v>
      </c>
      <c r="C27" s="13"/>
      <c r="D27" s="333"/>
      <c r="E27" s="332"/>
      <c r="F27" s="330"/>
      <c r="G27" s="13">
        <f>D5*16</f>
        <v>16</v>
      </c>
      <c r="H27" s="13"/>
      <c r="I27" s="522"/>
      <c r="J27" s="2"/>
    </row>
    <row r="28" spans="1:10" ht="15.75" customHeight="1" x14ac:dyDescent="0.3">
      <c r="A28" s="354"/>
      <c r="B28" s="13" t="s">
        <v>116</v>
      </c>
      <c r="C28" s="13"/>
      <c r="D28" s="333"/>
      <c r="E28" s="332"/>
      <c r="F28" s="330"/>
      <c r="G28" s="13">
        <f>D5*10</f>
        <v>10</v>
      </c>
      <c r="H28" s="13"/>
      <c r="I28" s="327"/>
      <c r="J28" s="2"/>
    </row>
    <row r="29" spans="1:10" ht="15.75" customHeight="1" x14ac:dyDescent="0.3">
      <c r="A29" s="342"/>
      <c r="B29" s="13" t="s">
        <v>100</v>
      </c>
      <c r="C29" s="13"/>
      <c r="D29" s="333"/>
      <c r="E29" s="332"/>
      <c r="F29" s="330"/>
      <c r="G29" s="13">
        <f>D5*6</f>
        <v>6</v>
      </c>
      <c r="H29" s="13"/>
      <c r="I29" s="327"/>
      <c r="J29" s="2"/>
    </row>
    <row r="30" spans="1:10" ht="15.75" customHeight="1" x14ac:dyDescent="0.3">
      <c r="A30" s="66" t="s">
        <v>70</v>
      </c>
      <c r="B30" s="13" t="s">
        <v>101</v>
      </c>
      <c r="C30" s="13"/>
      <c r="D30" s="333"/>
      <c r="E30" s="332"/>
      <c r="F30" s="330"/>
      <c r="G30" s="13">
        <f>D5*10</f>
        <v>10</v>
      </c>
      <c r="H30" s="13"/>
      <c r="I30" s="34"/>
      <c r="J30" s="2"/>
    </row>
    <row r="31" spans="1:10" ht="15.75" customHeight="1" x14ac:dyDescent="0.3">
      <c r="A31" s="69" t="s">
        <v>80</v>
      </c>
      <c r="B31" s="13" t="s">
        <v>149</v>
      </c>
      <c r="C31" s="13"/>
      <c r="D31" s="333"/>
      <c r="E31" s="332"/>
      <c r="F31" s="330"/>
      <c r="G31" s="13">
        <f>D5*4</f>
        <v>4</v>
      </c>
      <c r="H31" s="13"/>
      <c r="I31" s="34"/>
      <c r="J31" s="2"/>
    </row>
    <row r="32" spans="1:10" ht="15.75" customHeight="1" x14ac:dyDescent="0.3">
      <c r="A32" s="369" t="s">
        <v>53</v>
      </c>
      <c r="B32" s="13" t="s">
        <v>150</v>
      </c>
      <c r="C32" s="13"/>
      <c r="D32" s="333"/>
      <c r="E32" s="332"/>
      <c r="F32" s="330"/>
      <c r="G32" s="13">
        <f>D5*4</f>
        <v>4</v>
      </c>
      <c r="H32" s="13"/>
      <c r="I32" s="522"/>
      <c r="J32" s="2"/>
    </row>
    <row r="33" spans="1:10" ht="15.75" customHeight="1" x14ac:dyDescent="0.3">
      <c r="A33" s="342"/>
      <c r="B33" s="13" t="s">
        <v>151</v>
      </c>
      <c r="C33" s="13"/>
      <c r="D33" s="333"/>
      <c r="E33" s="332"/>
      <c r="F33" s="330"/>
      <c r="G33" s="13">
        <f>D5*4</f>
        <v>4</v>
      </c>
      <c r="H33" s="13"/>
      <c r="I33" s="327"/>
      <c r="J33" s="2"/>
    </row>
    <row r="34" spans="1:10" ht="15.75" customHeight="1" x14ac:dyDescent="0.3">
      <c r="A34" s="66" t="s">
        <v>54</v>
      </c>
      <c r="B34" s="13" t="s">
        <v>105</v>
      </c>
      <c r="C34" s="13"/>
      <c r="D34" s="333"/>
      <c r="E34" s="332"/>
      <c r="F34" s="330"/>
      <c r="G34" s="13">
        <f>D5*1</f>
        <v>1</v>
      </c>
      <c r="H34" s="13"/>
      <c r="I34" s="34"/>
      <c r="J34" s="2"/>
    </row>
    <row r="35" spans="1:10" ht="15.75" customHeight="1" x14ac:dyDescent="0.3">
      <c r="A35" s="331" t="s">
        <v>56</v>
      </c>
      <c r="B35" s="330"/>
      <c r="C35" s="331"/>
      <c r="D35" s="332"/>
      <c r="E35" s="332"/>
      <c r="F35" s="332"/>
      <c r="G35" s="332"/>
      <c r="H35" s="330"/>
      <c r="I35" s="34"/>
      <c r="J35" s="2"/>
    </row>
    <row r="36" spans="1:10" ht="15.75" customHeight="1" x14ac:dyDescent="0.3">
      <c r="A36" s="331" t="s">
        <v>57</v>
      </c>
      <c r="B36" s="330"/>
      <c r="C36" s="331"/>
      <c r="D36" s="332"/>
      <c r="E36" s="332"/>
      <c r="F36" s="332"/>
      <c r="G36" s="332"/>
      <c r="H36" s="330"/>
      <c r="I36" s="34"/>
      <c r="J36" s="2"/>
    </row>
    <row r="37" spans="1:10" ht="18" customHeight="1" x14ac:dyDescent="0.3">
      <c r="A37" s="334" t="s">
        <v>58</v>
      </c>
      <c r="B37" s="335"/>
      <c r="C37" s="335"/>
      <c r="D37" s="335"/>
      <c r="E37" s="336"/>
      <c r="F37" s="334" t="s">
        <v>59</v>
      </c>
      <c r="G37" s="335"/>
      <c r="H37" s="336"/>
      <c r="I37" s="34"/>
      <c r="J37" s="2"/>
    </row>
    <row r="38" spans="1:10" ht="18" customHeight="1" x14ac:dyDescent="0.3">
      <c r="A38" s="337"/>
      <c r="B38" s="338"/>
      <c r="C38" s="338"/>
      <c r="D38" s="338"/>
      <c r="E38" s="339"/>
      <c r="F38" s="337"/>
      <c r="G38" s="338"/>
      <c r="H38" s="339"/>
      <c r="I38" s="34"/>
      <c r="J38" s="2"/>
    </row>
    <row r="39" spans="1:10" ht="15.75" customHeight="1" x14ac:dyDescent="0.35">
      <c r="A39" s="80"/>
      <c r="B39" s="32"/>
      <c r="C39" s="372"/>
      <c r="D39" s="327"/>
      <c r="E39" s="327"/>
      <c r="F39" s="327"/>
      <c r="G39" s="2"/>
      <c r="H39" s="32"/>
      <c r="I39" s="2"/>
      <c r="J39" s="2"/>
    </row>
    <row r="40" spans="1:10" ht="15.75" customHeight="1" x14ac:dyDescent="0.35">
      <c r="A40" s="80"/>
      <c r="B40" s="32"/>
      <c r="C40" s="2"/>
      <c r="D40" s="2"/>
      <c r="E40" s="2"/>
      <c r="F40" s="2"/>
      <c r="G40" s="2"/>
      <c r="H40" s="32"/>
      <c r="I40" s="2"/>
      <c r="J40" s="2"/>
    </row>
    <row r="41" spans="1:10" ht="15.75" customHeight="1" x14ac:dyDescent="0.35">
      <c r="A41" s="80"/>
      <c r="B41" s="32"/>
      <c r="C41" s="2"/>
      <c r="D41" s="2"/>
      <c r="E41" s="2"/>
      <c r="F41" s="2"/>
      <c r="G41" s="2"/>
      <c r="H41" s="32"/>
      <c r="I41" s="2"/>
      <c r="J41" s="2"/>
    </row>
    <row r="42" spans="1:10" ht="15.75" customHeight="1" x14ac:dyDescent="0.35">
      <c r="A42" s="80"/>
      <c r="B42" s="32"/>
      <c r="C42" s="2"/>
      <c r="D42" s="2"/>
      <c r="E42" s="2"/>
      <c r="F42" s="2"/>
      <c r="G42" s="56"/>
      <c r="H42" s="32"/>
      <c r="I42" s="2"/>
      <c r="J42" s="2"/>
    </row>
    <row r="43" spans="1:10" ht="15.75" customHeight="1" x14ac:dyDescent="0.4">
      <c r="A43" s="80"/>
      <c r="B43" s="32"/>
      <c r="C43" s="2"/>
      <c r="D43" s="2"/>
      <c r="E43" s="2"/>
      <c r="F43" s="2"/>
      <c r="G43" s="2"/>
      <c r="H43" s="35">
        <f>D3</f>
        <v>300</v>
      </c>
      <c r="I43" s="2"/>
      <c r="J43" s="2"/>
    </row>
    <row r="44" spans="1:10" ht="15.75" customHeight="1" x14ac:dyDescent="0.35">
      <c r="A44" s="80"/>
      <c r="B44" s="32"/>
      <c r="C44" s="2"/>
      <c r="D44" s="2"/>
      <c r="E44" s="2"/>
      <c r="F44" s="2"/>
      <c r="G44" s="2"/>
      <c r="H44" s="32"/>
      <c r="I44" s="2"/>
      <c r="J44" s="2"/>
    </row>
    <row r="45" spans="1:10" ht="15.75" customHeight="1" x14ac:dyDescent="0.35">
      <c r="A45" s="80"/>
      <c r="B45" s="32"/>
      <c r="C45" s="372"/>
      <c r="D45" s="327"/>
      <c r="E45" s="327"/>
      <c r="F45" s="327"/>
      <c r="G45" s="2"/>
      <c r="H45" s="32"/>
      <c r="I45" s="2"/>
      <c r="J45" s="2"/>
    </row>
    <row r="46" spans="1:10" ht="15.75" customHeight="1" x14ac:dyDescent="0.35">
      <c r="A46" s="80"/>
      <c r="B46" s="32"/>
      <c r="C46" s="2"/>
      <c r="D46" s="2"/>
      <c r="E46" s="2"/>
      <c r="F46" s="2"/>
      <c r="G46" s="2"/>
      <c r="H46" s="32"/>
      <c r="I46" s="2"/>
      <c r="J46" s="2"/>
    </row>
    <row r="47" spans="1:10" ht="15.75" customHeight="1" x14ac:dyDescent="0.3"/>
    <row r="48" spans="1:10" ht="15.75" customHeight="1" x14ac:dyDescent="0.3"/>
    <row r="49" spans="4:4" ht="15.75" customHeight="1" x14ac:dyDescent="0.3"/>
    <row r="50" spans="4:4" ht="15.75" customHeight="1" x14ac:dyDescent="0.4">
      <c r="D50" s="119">
        <f>D4</f>
        <v>291.39999999999998</v>
      </c>
    </row>
    <row r="51" spans="4:4" ht="15.75" customHeight="1" x14ac:dyDescent="0.3"/>
    <row r="52" spans="4:4" ht="15.75" customHeight="1" x14ac:dyDescent="0.3"/>
    <row r="53" spans="4:4" ht="15.75" customHeight="1" x14ac:dyDescent="0.3"/>
    <row r="54" spans="4:4" ht="15.75" customHeight="1" x14ac:dyDescent="0.3"/>
    <row r="55" spans="4:4" ht="15.75" customHeight="1" x14ac:dyDescent="0.3"/>
    <row r="56" spans="4:4" ht="15.75" customHeight="1" x14ac:dyDescent="0.3"/>
    <row r="57" spans="4:4" ht="15.75" customHeight="1" x14ac:dyDescent="0.3"/>
    <row r="58" spans="4:4" ht="15.75" customHeight="1" x14ac:dyDescent="0.3"/>
    <row r="59" spans="4:4" ht="15.75" customHeight="1" x14ac:dyDescent="0.3"/>
    <row r="60" spans="4:4" ht="15.75" customHeight="1" x14ac:dyDescent="0.3"/>
    <row r="61" spans="4:4" ht="15.75" customHeight="1" x14ac:dyDescent="0.3"/>
    <row r="62" spans="4:4" ht="15.75" customHeight="1" x14ac:dyDescent="0.3"/>
    <row r="63" spans="4:4" ht="15.75" customHeight="1" x14ac:dyDescent="0.3"/>
    <row r="64" spans="4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62">
    <mergeCell ref="I32:I33"/>
    <mergeCell ref="I27:I29"/>
    <mergeCell ref="F37:H38"/>
    <mergeCell ref="A37:E38"/>
    <mergeCell ref="I7:K7"/>
    <mergeCell ref="D8:F8"/>
    <mergeCell ref="D10:F10"/>
    <mergeCell ref="D11:F11"/>
    <mergeCell ref="D21:D22"/>
    <mergeCell ref="D31:F31"/>
    <mergeCell ref="D30:F30"/>
    <mergeCell ref="C7:H7"/>
    <mergeCell ref="A7:B7"/>
    <mergeCell ref="D26:F26"/>
    <mergeCell ref="E25:F25"/>
    <mergeCell ref="E24:F24"/>
    <mergeCell ref="C39:F39"/>
    <mergeCell ref="C45:F45"/>
    <mergeCell ref="A8:B8"/>
    <mergeCell ref="D9:F9"/>
    <mergeCell ref="B21:B22"/>
    <mergeCell ref="A32:A33"/>
    <mergeCell ref="A27:A29"/>
    <mergeCell ref="C36:H36"/>
    <mergeCell ref="A36:B36"/>
    <mergeCell ref="D32:F32"/>
    <mergeCell ref="D33:F33"/>
    <mergeCell ref="D34:F34"/>
    <mergeCell ref="A9:A11"/>
    <mergeCell ref="D16:F16"/>
    <mergeCell ref="C35:H35"/>
    <mergeCell ref="A35:B35"/>
    <mergeCell ref="E23:F23"/>
    <mergeCell ref="H21:H22"/>
    <mergeCell ref="E21:F22"/>
    <mergeCell ref="C21:C22"/>
    <mergeCell ref="D29:F29"/>
    <mergeCell ref="D27:F27"/>
    <mergeCell ref="D28:F28"/>
    <mergeCell ref="I23:I25"/>
    <mergeCell ref="G21:G22"/>
    <mergeCell ref="A1:H1"/>
    <mergeCell ref="A2:H2"/>
    <mergeCell ref="C6:H6"/>
    <mergeCell ref="A16:A20"/>
    <mergeCell ref="A21:A25"/>
    <mergeCell ref="A12:A15"/>
    <mergeCell ref="D13:F13"/>
    <mergeCell ref="D14:F14"/>
    <mergeCell ref="D12:F12"/>
    <mergeCell ref="D15:F15"/>
    <mergeCell ref="D17:F17"/>
    <mergeCell ref="D18:F18"/>
    <mergeCell ref="D19:F19"/>
    <mergeCell ref="D20:F20"/>
    <mergeCell ref="A5:C5"/>
    <mergeCell ref="A6:B6"/>
    <mergeCell ref="E4:H4"/>
    <mergeCell ref="A4:C4"/>
    <mergeCell ref="E3:H3"/>
    <mergeCell ref="A3:C3"/>
    <mergeCell ref="E5:H5"/>
  </mergeCell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workbookViewId="0">
      <selection sqref="A1:H1"/>
    </sheetView>
  </sheetViews>
  <sheetFormatPr baseColWidth="10" defaultColWidth="14.44140625" defaultRowHeight="15" customHeight="1" x14ac:dyDescent="0.3"/>
  <cols>
    <col min="1" max="1" width="16.6640625" customWidth="1"/>
    <col min="2" max="2" width="19.5546875" customWidth="1"/>
    <col min="3" max="3" width="8.5546875" customWidth="1"/>
    <col min="4" max="4" width="18" customWidth="1"/>
    <col min="5" max="5" width="8.5546875" customWidth="1"/>
    <col min="6" max="6" width="5" customWidth="1"/>
    <col min="7" max="8" width="8.5546875" customWidth="1"/>
    <col min="9" max="9" width="16.109375" customWidth="1"/>
    <col min="10" max="10" width="20.5546875" customWidth="1"/>
    <col min="11" max="11" width="16.109375" customWidth="1"/>
  </cols>
  <sheetData>
    <row r="1" spans="1:11" ht="22.8" x14ac:dyDescent="0.4">
      <c r="A1" s="344"/>
      <c r="B1" s="332"/>
      <c r="C1" s="332"/>
      <c r="D1" s="332"/>
      <c r="E1" s="332"/>
      <c r="F1" s="332"/>
      <c r="G1" s="332"/>
      <c r="H1" s="330"/>
      <c r="I1" s="4"/>
      <c r="J1" s="2"/>
    </row>
    <row r="2" spans="1:11" ht="21" x14ac:dyDescent="0.4">
      <c r="A2" s="488" t="s">
        <v>152</v>
      </c>
      <c r="B2" s="332"/>
      <c r="C2" s="332"/>
      <c r="D2" s="332"/>
      <c r="E2" s="332"/>
      <c r="F2" s="332"/>
      <c r="G2" s="332"/>
      <c r="H2" s="330"/>
      <c r="I2" s="4"/>
      <c r="J2" s="2"/>
    </row>
    <row r="3" spans="1:11" ht="21" x14ac:dyDescent="0.4">
      <c r="A3" s="331" t="s">
        <v>3</v>
      </c>
      <c r="B3" s="332"/>
      <c r="C3" s="330"/>
      <c r="D3" s="37">
        <v>200</v>
      </c>
      <c r="E3" s="489" t="s">
        <v>4</v>
      </c>
      <c r="F3" s="332"/>
      <c r="G3" s="332"/>
      <c r="H3" s="330"/>
      <c r="I3" s="118"/>
      <c r="J3" s="2"/>
    </row>
    <row r="4" spans="1:11" ht="20.25" customHeight="1" x14ac:dyDescent="0.4">
      <c r="A4" s="373" t="s">
        <v>6</v>
      </c>
      <c r="B4" s="332"/>
      <c r="C4" s="330"/>
      <c r="D4" s="37">
        <v>200</v>
      </c>
      <c r="E4" s="489" t="s">
        <v>4</v>
      </c>
      <c r="F4" s="332"/>
      <c r="G4" s="332"/>
      <c r="H4" s="330"/>
      <c r="I4" s="72"/>
      <c r="J4" s="2"/>
    </row>
    <row r="5" spans="1:11" ht="20.25" customHeight="1" x14ac:dyDescent="0.4">
      <c r="A5" s="373" t="s">
        <v>7</v>
      </c>
      <c r="B5" s="332"/>
      <c r="C5" s="330"/>
      <c r="D5" s="88">
        <v>1</v>
      </c>
      <c r="E5" s="345"/>
      <c r="F5" s="332"/>
      <c r="G5" s="332"/>
      <c r="H5" s="330"/>
      <c r="I5" s="89"/>
      <c r="J5" s="2"/>
    </row>
    <row r="6" spans="1:11" ht="21" x14ac:dyDescent="0.4">
      <c r="A6" s="345" t="s">
        <v>72</v>
      </c>
      <c r="B6" s="330"/>
      <c r="C6" s="345"/>
      <c r="D6" s="332"/>
      <c r="E6" s="332"/>
      <c r="F6" s="332"/>
      <c r="G6" s="332"/>
      <c r="H6" s="330"/>
      <c r="J6" s="2"/>
    </row>
    <row r="7" spans="1:11" ht="21" x14ac:dyDescent="0.4">
      <c r="A7" s="345" t="s">
        <v>9</v>
      </c>
      <c r="B7" s="330"/>
      <c r="C7" s="345"/>
      <c r="D7" s="332"/>
      <c r="E7" s="332"/>
      <c r="F7" s="332"/>
      <c r="G7" s="332"/>
      <c r="H7" s="330"/>
      <c r="I7" s="366"/>
      <c r="J7" s="332"/>
      <c r="K7" s="330"/>
    </row>
    <row r="8" spans="1:11" ht="24" x14ac:dyDescent="0.4">
      <c r="A8" s="373" t="s">
        <v>61</v>
      </c>
      <c r="B8" s="330"/>
      <c r="C8" s="60" t="s">
        <v>11</v>
      </c>
      <c r="D8" s="409" t="s">
        <v>12</v>
      </c>
      <c r="E8" s="332"/>
      <c r="F8" s="330"/>
      <c r="G8" s="90" t="s">
        <v>13</v>
      </c>
      <c r="H8" s="62" t="s">
        <v>107</v>
      </c>
      <c r="I8" s="41"/>
      <c r="J8" s="41"/>
      <c r="K8" s="41"/>
    </row>
    <row r="9" spans="1:11" ht="14.4" x14ac:dyDescent="0.3">
      <c r="A9" s="524" t="s">
        <v>19</v>
      </c>
      <c r="B9" s="13" t="s">
        <v>20</v>
      </c>
      <c r="C9" s="13" t="s">
        <v>85</v>
      </c>
      <c r="D9" s="346">
        <f>D4</f>
        <v>200</v>
      </c>
      <c r="E9" s="332"/>
      <c r="F9" s="330"/>
      <c r="G9" s="13">
        <f>D5*1</f>
        <v>1</v>
      </c>
      <c r="H9" s="13">
        <v>90</v>
      </c>
      <c r="I9" s="13"/>
      <c r="J9" s="13"/>
      <c r="K9" s="43"/>
    </row>
    <row r="10" spans="1:11" ht="14.4" x14ac:dyDescent="0.3">
      <c r="A10" s="354"/>
      <c r="B10" s="13" t="s">
        <v>23</v>
      </c>
      <c r="C10" s="13" t="s">
        <v>86</v>
      </c>
      <c r="D10" s="346">
        <f>D4</f>
        <v>200</v>
      </c>
      <c r="E10" s="332"/>
      <c r="F10" s="330"/>
      <c r="G10" s="13">
        <f>D5*1</f>
        <v>1</v>
      </c>
      <c r="H10" s="13">
        <v>90</v>
      </c>
      <c r="I10" s="13"/>
      <c r="J10" s="13"/>
      <c r="K10" s="43"/>
    </row>
    <row r="11" spans="1:11" ht="14.4" x14ac:dyDescent="0.3">
      <c r="A11" s="342"/>
      <c r="B11" s="13" t="s">
        <v>26</v>
      </c>
      <c r="C11" s="13" t="s">
        <v>87</v>
      </c>
      <c r="D11" s="346">
        <f>D3-1.2</f>
        <v>198.8</v>
      </c>
      <c r="E11" s="332"/>
      <c r="F11" s="330"/>
      <c r="G11" s="13">
        <f>D5*2</f>
        <v>2</v>
      </c>
      <c r="H11" s="13">
        <v>90</v>
      </c>
      <c r="I11" s="13"/>
      <c r="J11" s="13"/>
      <c r="K11" s="43"/>
    </row>
    <row r="12" spans="1:11" ht="14.4" x14ac:dyDescent="0.3">
      <c r="A12" s="369" t="s">
        <v>66</v>
      </c>
      <c r="B12" s="13" t="s">
        <v>142</v>
      </c>
      <c r="C12" s="13" t="s">
        <v>90</v>
      </c>
      <c r="D12" s="346">
        <f>D3-2.7</f>
        <v>197.3</v>
      </c>
      <c r="E12" s="332"/>
      <c r="F12" s="330"/>
      <c r="G12" s="13">
        <f>D5*1</f>
        <v>1</v>
      </c>
      <c r="H12" s="13">
        <v>90</v>
      </c>
      <c r="I12" s="13"/>
      <c r="J12" s="13"/>
      <c r="K12" s="43"/>
    </row>
    <row r="13" spans="1:11" ht="14.4" x14ac:dyDescent="0.3">
      <c r="A13" s="354"/>
      <c r="B13" s="13" t="s">
        <v>143</v>
      </c>
      <c r="C13" s="13" t="s">
        <v>92</v>
      </c>
      <c r="D13" s="346">
        <f>D3-2.7</f>
        <v>197.3</v>
      </c>
      <c r="E13" s="332"/>
      <c r="F13" s="330"/>
      <c r="G13" s="13">
        <f>D5*1</f>
        <v>1</v>
      </c>
      <c r="H13" s="13">
        <v>90</v>
      </c>
      <c r="I13" s="13"/>
      <c r="J13" s="13"/>
      <c r="K13" s="43"/>
    </row>
    <row r="14" spans="1:11" ht="14.4" x14ac:dyDescent="0.3">
      <c r="A14" s="354"/>
      <c r="B14" s="13" t="s">
        <v>93</v>
      </c>
      <c r="C14" s="13" t="s">
        <v>94</v>
      </c>
      <c r="D14" s="346">
        <f>D4/2</f>
        <v>100</v>
      </c>
      <c r="E14" s="332"/>
      <c r="F14" s="330"/>
      <c r="G14" s="13">
        <f>D5*1</f>
        <v>1</v>
      </c>
      <c r="H14" s="13">
        <v>90</v>
      </c>
      <c r="I14" s="13"/>
      <c r="J14" s="13"/>
      <c r="K14" s="43"/>
    </row>
    <row r="15" spans="1:11" ht="14.4" x14ac:dyDescent="0.3">
      <c r="A15" s="342"/>
      <c r="B15" s="13" t="s">
        <v>95</v>
      </c>
      <c r="C15" s="13" t="s">
        <v>96</v>
      </c>
      <c r="D15" s="346">
        <f>D14</f>
        <v>100</v>
      </c>
      <c r="E15" s="332"/>
      <c r="F15" s="330"/>
      <c r="G15" s="13">
        <f>D5*1</f>
        <v>1</v>
      </c>
      <c r="H15" s="13">
        <v>90</v>
      </c>
      <c r="I15" s="13"/>
      <c r="J15" s="13"/>
      <c r="K15" s="91"/>
    </row>
    <row r="16" spans="1:11" ht="14.4" x14ac:dyDescent="0.3">
      <c r="A16" s="369" t="s">
        <v>108</v>
      </c>
      <c r="B16" s="13" t="s">
        <v>142</v>
      </c>
      <c r="C16" s="13" t="s">
        <v>90</v>
      </c>
      <c r="D16" s="346">
        <f>D3-2.7</f>
        <v>197.3</v>
      </c>
      <c r="E16" s="332"/>
      <c r="F16" s="330"/>
      <c r="G16" s="13">
        <f>D5*3</f>
        <v>3</v>
      </c>
      <c r="H16" s="13">
        <v>90</v>
      </c>
      <c r="I16" s="13"/>
      <c r="J16" s="13"/>
      <c r="K16" s="14"/>
    </row>
    <row r="17" spans="1:10" ht="14.4" x14ac:dyDescent="0.3">
      <c r="A17" s="354"/>
      <c r="B17" s="13" t="s">
        <v>143</v>
      </c>
      <c r="C17" s="13" t="s">
        <v>92</v>
      </c>
      <c r="D17" s="346">
        <f>D3-2.7</f>
        <v>197.3</v>
      </c>
      <c r="E17" s="332"/>
      <c r="F17" s="330"/>
      <c r="G17" s="13">
        <f>D5*1</f>
        <v>1</v>
      </c>
      <c r="H17" s="13">
        <v>90</v>
      </c>
      <c r="I17" s="34"/>
      <c r="J17" s="2"/>
    </row>
    <row r="18" spans="1:10" ht="14.4" x14ac:dyDescent="0.3">
      <c r="A18" s="354"/>
      <c r="B18" s="13" t="s">
        <v>93</v>
      </c>
      <c r="C18" s="13" t="s">
        <v>94</v>
      </c>
      <c r="D18" s="346">
        <f>D4/4+1.2</f>
        <v>51.2</v>
      </c>
      <c r="E18" s="332"/>
      <c r="F18" s="330"/>
      <c r="G18" s="13">
        <f>D5*2</f>
        <v>2</v>
      </c>
      <c r="H18" s="13">
        <v>90</v>
      </c>
      <c r="I18" s="34"/>
      <c r="J18" s="2"/>
    </row>
    <row r="19" spans="1:10" ht="14.4" x14ac:dyDescent="0.3">
      <c r="A19" s="354"/>
      <c r="B19" s="13" t="s">
        <v>95</v>
      </c>
      <c r="C19" s="13" t="s">
        <v>96</v>
      </c>
      <c r="D19" s="346">
        <f>D4/4+1.2</f>
        <v>51.2</v>
      </c>
      <c r="E19" s="332"/>
      <c r="F19" s="330"/>
      <c r="G19" s="13">
        <f>D5*2</f>
        <v>2</v>
      </c>
      <c r="H19" s="13">
        <v>90</v>
      </c>
      <c r="I19" s="34"/>
      <c r="J19" s="2"/>
    </row>
    <row r="20" spans="1:10" ht="14.4" x14ac:dyDescent="0.3">
      <c r="A20" s="342"/>
      <c r="B20" s="13"/>
      <c r="C20" s="13"/>
      <c r="D20" s="346">
        <f>D16</f>
        <v>197.3</v>
      </c>
      <c r="E20" s="332"/>
      <c r="F20" s="330"/>
      <c r="G20" s="13"/>
      <c r="H20" s="13"/>
      <c r="I20" s="34"/>
      <c r="J20" s="2"/>
    </row>
    <row r="21" spans="1:10" ht="15.75" customHeight="1" x14ac:dyDescent="0.3">
      <c r="A21" s="523" t="s">
        <v>39</v>
      </c>
      <c r="B21" s="359" t="s">
        <v>148</v>
      </c>
      <c r="C21" s="341"/>
      <c r="D21" s="379" t="s">
        <v>3</v>
      </c>
      <c r="E21" s="377" t="s">
        <v>41</v>
      </c>
      <c r="F21" s="336"/>
      <c r="G21" s="485"/>
      <c r="H21" s="485"/>
      <c r="I21" s="34"/>
      <c r="J21" s="2"/>
    </row>
    <row r="22" spans="1:10" ht="15.75" customHeight="1" x14ac:dyDescent="0.3">
      <c r="A22" s="354"/>
      <c r="B22" s="342"/>
      <c r="C22" s="342"/>
      <c r="D22" s="342"/>
      <c r="E22" s="337"/>
      <c r="F22" s="339"/>
      <c r="G22" s="342"/>
      <c r="H22" s="342"/>
      <c r="I22" s="34"/>
      <c r="J22" s="2"/>
    </row>
    <row r="23" spans="1:10" ht="15.75" customHeight="1" x14ac:dyDescent="0.3">
      <c r="A23" s="354"/>
      <c r="B23" s="94" t="s">
        <v>113</v>
      </c>
      <c r="C23" s="95"/>
      <c r="D23" s="19">
        <f>D12-8.3</f>
        <v>189</v>
      </c>
      <c r="E23" s="357">
        <f>D14-6</f>
        <v>94</v>
      </c>
      <c r="F23" s="330"/>
      <c r="G23" s="18">
        <f>D5*1</f>
        <v>1</v>
      </c>
      <c r="H23" s="18"/>
      <c r="I23" s="522"/>
      <c r="J23" s="2"/>
    </row>
    <row r="24" spans="1:10" ht="15.75" customHeight="1" x14ac:dyDescent="0.3">
      <c r="A24" s="354"/>
      <c r="B24" s="94"/>
      <c r="C24" s="94"/>
      <c r="D24" s="19"/>
      <c r="E24" s="357"/>
      <c r="F24" s="330"/>
      <c r="G24" s="18"/>
      <c r="H24" s="18"/>
      <c r="I24" s="327"/>
      <c r="J24" s="2"/>
    </row>
    <row r="25" spans="1:10" ht="15.75" customHeight="1" x14ac:dyDescent="0.3">
      <c r="A25" s="342"/>
      <c r="B25" s="94" t="s">
        <v>127</v>
      </c>
      <c r="C25" s="94"/>
      <c r="D25" s="19">
        <f>D17-8.3</f>
        <v>189</v>
      </c>
      <c r="E25" s="357">
        <f>D18-6</f>
        <v>45.2</v>
      </c>
      <c r="F25" s="330"/>
      <c r="G25" s="18">
        <f>D5*2</f>
        <v>2</v>
      </c>
      <c r="H25" s="18"/>
      <c r="I25" s="327"/>
      <c r="J25" s="2"/>
    </row>
    <row r="26" spans="1:10" ht="15.75" customHeight="1" x14ac:dyDescent="0.3">
      <c r="A26" s="66" t="s">
        <v>42</v>
      </c>
      <c r="B26" s="13">
        <v>8025</v>
      </c>
      <c r="C26" s="13"/>
      <c r="D26" s="346"/>
      <c r="E26" s="332"/>
      <c r="F26" s="330"/>
      <c r="G26" s="13">
        <f>(D23*6)+(E23*6)*D5</f>
        <v>1698</v>
      </c>
      <c r="H26" s="13" t="s">
        <v>43</v>
      </c>
      <c r="I26" s="34"/>
      <c r="J26" s="2"/>
    </row>
    <row r="27" spans="1:10" ht="15.75" customHeight="1" x14ac:dyDescent="0.3">
      <c r="A27" s="369" t="s">
        <v>44</v>
      </c>
      <c r="B27" s="13" t="s">
        <v>45</v>
      </c>
      <c r="C27" s="13"/>
      <c r="D27" s="333"/>
      <c r="E27" s="332"/>
      <c r="F27" s="330"/>
      <c r="G27" s="13">
        <f>D5*16</f>
        <v>16</v>
      </c>
      <c r="H27" s="13"/>
      <c r="I27" s="522"/>
      <c r="J27" s="2"/>
    </row>
    <row r="28" spans="1:10" ht="15.75" customHeight="1" x14ac:dyDescent="0.3">
      <c r="A28" s="354"/>
      <c r="B28" s="13" t="s">
        <v>116</v>
      </c>
      <c r="C28" s="13"/>
      <c r="D28" s="333"/>
      <c r="E28" s="332"/>
      <c r="F28" s="330"/>
      <c r="G28" s="13">
        <f>D5*10</f>
        <v>10</v>
      </c>
      <c r="H28" s="13"/>
      <c r="I28" s="327"/>
      <c r="J28" s="2"/>
    </row>
    <row r="29" spans="1:10" ht="15.75" customHeight="1" x14ac:dyDescent="0.3">
      <c r="A29" s="342"/>
      <c r="B29" s="13" t="s">
        <v>100</v>
      </c>
      <c r="C29" s="13"/>
      <c r="D29" s="333"/>
      <c r="E29" s="332"/>
      <c r="F29" s="330"/>
      <c r="G29" s="13">
        <f>D5*6</f>
        <v>6</v>
      </c>
      <c r="H29" s="13"/>
      <c r="I29" s="327"/>
      <c r="J29" s="2"/>
    </row>
    <row r="30" spans="1:10" ht="15.75" customHeight="1" x14ac:dyDescent="0.3">
      <c r="A30" s="66" t="s">
        <v>70</v>
      </c>
      <c r="B30" s="13" t="s">
        <v>101</v>
      </c>
      <c r="C30" s="13"/>
      <c r="D30" s="333"/>
      <c r="E30" s="332"/>
      <c r="F30" s="330"/>
      <c r="G30" s="13">
        <f>D5*10</f>
        <v>10</v>
      </c>
      <c r="H30" s="13"/>
      <c r="I30" s="34"/>
      <c r="J30" s="2"/>
    </row>
    <row r="31" spans="1:10" ht="15.75" customHeight="1" x14ac:dyDescent="0.3">
      <c r="A31" s="69" t="s">
        <v>80</v>
      </c>
      <c r="B31" s="13" t="s">
        <v>149</v>
      </c>
      <c r="C31" s="13"/>
      <c r="D31" s="333"/>
      <c r="E31" s="332"/>
      <c r="F31" s="330"/>
      <c r="G31" s="13">
        <f>D5*4</f>
        <v>4</v>
      </c>
      <c r="H31" s="13"/>
      <c r="I31" s="34"/>
      <c r="J31" s="2"/>
    </row>
    <row r="32" spans="1:10" ht="15.75" customHeight="1" x14ac:dyDescent="0.3">
      <c r="A32" s="369" t="s">
        <v>53</v>
      </c>
      <c r="B32" s="13" t="s">
        <v>150</v>
      </c>
      <c r="C32" s="13"/>
      <c r="D32" s="333"/>
      <c r="E32" s="332"/>
      <c r="F32" s="330"/>
      <c r="G32" s="13">
        <f>D5*4</f>
        <v>4</v>
      </c>
      <c r="H32" s="13"/>
      <c r="I32" s="522"/>
      <c r="J32" s="2"/>
    </row>
    <row r="33" spans="1:10" ht="15.75" customHeight="1" x14ac:dyDescent="0.3">
      <c r="A33" s="342"/>
      <c r="B33" s="13" t="s">
        <v>151</v>
      </c>
      <c r="C33" s="13"/>
      <c r="D33" s="333"/>
      <c r="E33" s="332"/>
      <c r="F33" s="330"/>
      <c r="G33" s="13">
        <f>D5*4</f>
        <v>4</v>
      </c>
      <c r="H33" s="13"/>
      <c r="I33" s="327"/>
      <c r="J33" s="2"/>
    </row>
    <row r="34" spans="1:10" ht="15.75" customHeight="1" x14ac:dyDescent="0.3">
      <c r="A34" s="66" t="s">
        <v>54</v>
      </c>
      <c r="B34" s="13" t="s">
        <v>105</v>
      </c>
      <c r="C34" s="13"/>
      <c r="D34" s="333"/>
      <c r="E34" s="332"/>
      <c r="F34" s="330"/>
      <c r="G34" s="13">
        <f>D5*1</f>
        <v>1</v>
      </c>
      <c r="H34" s="13"/>
      <c r="I34" s="34"/>
      <c r="J34" s="2"/>
    </row>
    <row r="35" spans="1:10" ht="15.75" customHeight="1" x14ac:dyDescent="0.3">
      <c r="A35" s="331" t="s">
        <v>56</v>
      </c>
      <c r="B35" s="330"/>
      <c r="C35" s="331"/>
      <c r="D35" s="332"/>
      <c r="E35" s="332"/>
      <c r="F35" s="332"/>
      <c r="G35" s="332"/>
      <c r="H35" s="330"/>
      <c r="I35" s="34"/>
      <c r="J35" s="2"/>
    </row>
    <row r="36" spans="1:10" ht="15.75" customHeight="1" x14ac:dyDescent="0.3">
      <c r="A36" s="331" t="s">
        <v>57</v>
      </c>
      <c r="B36" s="330"/>
      <c r="C36" s="331"/>
      <c r="D36" s="332"/>
      <c r="E36" s="332"/>
      <c r="F36" s="332"/>
      <c r="G36" s="332"/>
      <c r="H36" s="330"/>
      <c r="I36" s="34"/>
      <c r="J36" s="2"/>
    </row>
    <row r="37" spans="1:10" ht="18" customHeight="1" x14ac:dyDescent="0.3">
      <c r="A37" s="334" t="s">
        <v>58</v>
      </c>
      <c r="B37" s="335"/>
      <c r="C37" s="335"/>
      <c r="D37" s="335"/>
      <c r="E37" s="336"/>
      <c r="F37" s="334" t="s">
        <v>59</v>
      </c>
      <c r="G37" s="335"/>
      <c r="H37" s="336"/>
      <c r="I37" s="34"/>
      <c r="J37" s="2"/>
    </row>
    <row r="38" spans="1:10" ht="18" customHeight="1" x14ac:dyDescent="0.3">
      <c r="A38" s="337"/>
      <c r="B38" s="338"/>
      <c r="C38" s="338"/>
      <c r="D38" s="338"/>
      <c r="E38" s="339"/>
      <c r="F38" s="337"/>
      <c r="G38" s="338"/>
      <c r="H38" s="339"/>
      <c r="I38" s="34"/>
      <c r="J38" s="2"/>
    </row>
    <row r="39" spans="1:10" ht="15.75" customHeight="1" x14ac:dyDescent="0.35">
      <c r="A39" s="80"/>
      <c r="B39" s="32"/>
      <c r="C39" s="372"/>
      <c r="D39" s="327"/>
      <c r="E39" s="327"/>
      <c r="F39" s="327"/>
      <c r="G39" s="2"/>
      <c r="H39" s="32"/>
      <c r="I39" s="2"/>
      <c r="J39" s="2"/>
    </row>
    <row r="40" spans="1:10" ht="15.75" customHeight="1" x14ac:dyDescent="0.35">
      <c r="A40" s="80"/>
      <c r="B40" s="32"/>
      <c r="C40" s="2"/>
      <c r="D40" s="2"/>
      <c r="E40" s="2"/>
      <c r="F40" s="2"/>
      <c r="G40" s="2"/>
      <c r="H40" s="32"/>
      <c r="I40" s="2"/>
      <c r="J40" s="2"/>
    </row>
    <row r="41" spans="1:10" ht="15.75" customHeight="1" x14ac:dyDescent="0.35">
      <c r="A41" s="80"/>
      <c r="B41" s="32"/>
      <c r="C41" s="2"/>
      <c r="D41" s="2"/>
      <c r="E41" s="2"/>
      <c r="F41" s="2"/>
      <c r="G41" s="2"/>
      <c r="H41" s="32"/>
      <c r="I41" s="2"/>
      <c r="J41" s="2"/>
    </row>
    <row r="42" spans="1:10" ht="15.75" customHeight="1" x14ac:dyDescent="0.35">
      <c r="A42" s="80"/>
      <c r="B42" s="32"/>
      <c r="C42" s="2"/>
      <c r="D42" s="2"/>
      <c r="E42" s="2"/>
      <c r="F42" s="2"/>
      <c r="G42" s="56"/>
      <c r="H42" s="32"/>
      <c r="I42" s="2"/>
      <c r="J42" s="2"/>
    </row>
    <row r="43" spans="1:10" ht="15.75" customHeight="1" x14ac:dyDescent="0.4">
      <c r="A43" s="80"/>
      <c r="B43" s="32"/>
      <c r="C43" s="2"/>
      <c r="D43" s="2"/>
      <c r="E43" s="2"/>
      <c r="F43" s="2"/>
      <c r="G43" s="2"/>
      <c r="H43" s="35"/>
      <c r="I43" s="2"/>
      <c r="J43" s="2"/>
    </row>
    <row r="44" spans="1:10" ht="15.75" customHeight="1" x14ac:dyDescent="0.35">
      <c r="A44" s="80"/>
      <c r="B44" s="32"/>
      <c r="C44" s="2"/>
      <c r="D44" s="2"/>
      <c r="E44" s="2"/>
      <c r="F44" s="2"/>
      <c r="G44" s="2"/>
      <c r="H44" s="32"/>
      <c r="I44" s="2"/>
      <c r="J44" s="2"/>
    </row>
    <row r="45" spans="1:10" ht="15.75" customHeight="1" x14ac:dyDescent="0.35">
      <c r="A45" s="80"/>
      <c r="B45" s="32"/>
      <c r="C45" s="372"/>
      <c r="D45" s="327"/>
      <c r="E45" s="327"/>
      <c r="F45" s="327"/>
      <c r="G45" s="2"/>
      <c r="H45" s="32"/>
      <c r="I45" s="2"/>
      <c r="J45" s="2"/>
    </row>
    <row r="46" spans="1:10" ht="15.75" customHeight="1" x14ac:dyDescent="0.35">
      <c r="A46" s="80"/>
      <c r="B46" s="32"/>
      <c r="C46" s="2"/>
      <c r="D46" s="2"/>
      <c r="E46" s="2"/>
      <c r="F46" s="2"/>
      <c r="G46" s="2"/>
      <c r="H46" s="32"/>
      <c r="I46" s="2"/>
      <c r="J46" s="2"/>
    </row>
    <row r="47" spans="1:10" ht="15.75" customHeight="1" x14ac:dyDescent="0.3"/>
    <row r="48" spans="1:10" ht="15.75" customHeight="1" x14ac:dyDescent="0.3"/>
    <row r="49" spans="4:4" ht="15.75" customHeight="1" x14ac:dyDescent="0.3"/>
    <row r="50" spans="4:4" ht="15.75" customHeight="1" x14ac:dyDescent="0.4">
      <c r="D50" s="119"/>
    </row>
    <row r="51" spans="4:4" ht="15.75" customHeight="1" x14ac:dyDescent="0.3"/>
    <row r="52" spans="4:4" ht="15.75" customHeight="1" x14ac:dyDescent="0.3"/>
    <row r="53" spans="4:4" ht="15.75" customHeight="1" x14ac:dyDescent="0.3"/>
    <row r="54" spans="4:4" ht="15.75" customHeight="1" x14ac:dyDescent="0.3"/>
    <row r="55" spans="4:4" ht="15.75" customHeight="1" x14ac:dyDescent="0.3"/>
    <row r="56" spans="4:4" ht="15.75" customHeight="1" x14ac:dyDescent="0.3"/>
    <row r="57" spans="4:4" ht="15.75" customHeight="1" x14ac:dyDescent="0.3"/>
    <row r="58" spans="4:4" ht="15.75" customHeight="1" x14ac:dyDescent="0.3"/>
    <row r="59" spans="4:4" ht="15.75" customHeight="1" x14ac:dyDescent="0.3"/>
    <row r="60" spans="4:4" ht="15.75" customHeight="1" x14ac:dyDescent="0.3"/>
    <row r="61" spans="4:4" ht="15.75" customHeight="1" x14ac:dyDescent="0.3"/>
    <row r="62" spans="4:4" ht="15.75" customHeight="1" x14ac:dyDescent="0.3"/>
    <row r="63" spans="4:4" ht="15.75" customHeight="1" x14ac:dyDescent="0.3"/>
    <row r="64" spans="4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62">
    <mergeCell ref="E23:F23"/>
    <mergeCell ref="H21:H22"/>
    <mergeCell ref="I23:I25"/>
    <mergeCell ref="G21:G22"/>
    <mergeCell ref="E25:F25"/>
    <mergeCell ref="E24:F24"/>
    <mergeCell ref="C7:H7"/>
    <mergeCell ref="I7:K7"/>
    <mergeCell ref="C21:C22"/>
    <mergeCell ref="D21:D22"/>
    <mergeCell ref="D20:F20"/>
    <mergeCell ref="E21:F22"/>
    <mergeCell ref="D15:F15"/>
    <mergeCell ref="D17:F17"/>
    <mergeCell ref="D18:F18"/>
    <mergeCell ref="D19:F19"/>
    <mergeCell ref="D16:F16"/>
    <mergeCell ref="C6:H6"/>
    <mergeCell ref="A21:A25"/>
    <mergeCell ref="B21:B22"/>
    <mergeCell ref="A6:B6"/>
    <mergeCell ref="A16:A20"/>
    <mergeCell ref="A12:A15"/>
    <mergeCell ref="A7:B7"/>
    <mergeCell ref="A9:A11"/>
    <mergeCell ref="A8:B8"/>
    <mergeCell ref="D12:F12"/>
    <mergeCell ref="D9:F9"/>
    <mergeCell ref="D8:F8"/>
    <mergeCell ref="D10:F10"/>
    <mergeCell ref="D11:F11"/>
    <mergeCell ref="D13:F13"/>
    <mergeCell ref="D14:F14"/>
    <mergeCell ref="A1:H1"/>
    <mergeCell ref="A2:H2"/>
    <mergeCell ref="A5:C5"/>
    <mergeCell ref="E4:H4"/>
    <mergeCell ref="A4:C4"/>
    <mergeCell ref="E3:H3"/>
    <mergeCell ref="A3:C3"/>
    <mergeCell ref="E5:H5"/>
    <mergeCell ref="I32:I33"/>
    <mergeCell ref="I27:I29"/>
    <mergeCell ref="F37:H38"/>
    <mergeCell ref="A37:E38"/>
    <mergeCell ref="A36:B36"/>
    <mergeCell ref="D26:F26"/>
    <mergeCell ref="A35:B35"/>
    <mergeCell ref="D33:F33"/>
    <mergeCell ref="D34:F34"/>
    <mergeCell ref="D32:F32"/>
    <mergeCell ref="D31:F31"/>
    <mergeCell ref="C35:H35"/>
    <mergeCell ref="C39:F39"/>
    <mergeCell ref="C45:F45"/>
    <mergeCell ref="A32:A33"/>
    <mergeCell ref="A27:A29"/>
    <mergeCell ref="D30:F30"/>
    <mergeCell ref="D29:F29"/>
    <mergeCell ref="D27:F27"/>
    <mergeCell ref="D28:F28"/>
    <mergeCell ref="C36:H36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"/>
  <sheetViews>
    <sheetView workbookViewId="0">
      <selection sqref="A1:H1"/>
    </sheetView>
  </sheetViews>
  <sheetFormatPr baseColWidth="10" defaultColWidth="14.44140625" defaultRowHeight="15" customHeight="1" x14ac:dyDescent="0.3"/>
  <cols>
    <col min="1" max="1" width="18.88671875" customWidth="1"/>
    <col min="2" max="2" width="18.44140625" customWidth="1"/>
    <col min="3" max="3" width="8.5546875" customWidth="1"/>
    <col min="4" max="4" width="16.33203125" customWidth="1"/>
    <col min="5" max="5" width="8.5546875" customWidth="1"/>
    <col min="6" max="6" width="6.33203125" customWidth="1"/>
    <col min="7" max="8" width="8.5546875" customWidth="1"/>
    <col min="9" max="9" width="18.109375" customWidth="1"/>
    <col min="10" max="10" width="19.5546875" customWidth="1"/>
    <col min="11" max="11" width="14.5546875" customWidth="1"/>
  </cols>
  <sheetData>
    <row r="1" spans="1:11" ht="22.8" x14ac:dyDescent="0.4">
      <c r="A1" s="509" t="s">
        <v>524</v>
      </c>
      <c r="B1" s="510"/>
      <c r="C1" s="510"/>
      <c r="D1" s="510"/>
      <c r="E1" s="510"/>
      <c r="F1" s="510"/>
      <c r="G1" s="510"/>
      <c r="H1" s="511"/>
      <c r="I1" s="87"/>
      <c r="J1" s="97"/>
      <c r="K1" s="97"/>
    </row>
    <row r="2" spans="1:11" ht="22.8" x14ac:dyDescent="0.4">
      <c r="A2" s="516" t="s">
        <v>153</v>
      </c>
      <c r="B2" s="332"/>
      <c r="C2" s="332"/>
      <c r="D2" s="332"/>
      <c r="E2" s="332"/>
      <c r="F2" s="332"/>
      <c r="G2" s="332"/>
      <c r="H2" s="330"/>
      <c r="I2" s="120"/>
      <c r="J2" s="97"/>
      <c r="K2" s="97"/>
    </row>
    <row r="3" spans="1:11" ht="20.399999999999999" x14ac:dyDescent="0.35">
      <c r="A3" s="513" t="s">
        <v>3</v>
      </c>
      <c r="B3" s="332"/>
      <c r="C3" s="330"/>
      <c r="D3" s="121">
        <v>200</v>
      </c>
      <c r="E3" s="517" t="s">
        <v>129</v>
      </c>
      <c r="F3" s="332"/>
      <c r="G3" s="332"/>
      <c r="H3" s="330"/>
      <c r="I3" s="98"/>
      <c r="J3" s="99"/>
      <c r="K3" s="99"/>
    </row>
    <row r="4" spans="1:11" ht="18" customHeight="1" x14ac:dyDescent="0.35">
      <c r="A4" s="508" t="s">
        <v>6</v>
      </c>
      <c r="B4" s="332"/>
      <c r="C4" s="330"/>
      <c r="D4" s="37">
        <v>313.2</v>
      </c>
      <c r="E4" s="517" t="s">
        <v>129</v>
      </c>
      <c r="F4" s="332"/>
      <c r="G4" s="332"/>
      <c r="H4" s="330"/>
      <c r="I4" s="72"/>
      <c r="J4" s="99"/>
      <c r="K4" s="99"/>
    </row>
    <row r="5" spans="1:11" ht="18" customHeight="1" x14ac:dyDescent="0.35">
      <c r="A5" s="508" t="s">
        <v>7</v>
      </c>
      <c r="B5" s="332"/>
      <c r="C5" s="330"/>
      <c r="D5" s="88">
        <v>1</v>
      </c>
      <c r="E5" s="491"/>
      <c r="F5" s="332"/>
      <c r="G5" s="332"/>
      <c r="H5" s="330"/>
      <c r="I5" s="89"/>
      <c r="J5" s="99"/>
      <c r="K5" s="99"/>
    </row>
    <row r="6" spans="1:11" ht="21" x14ac:dyDescent="0.4">
      <c r="A6" s="503" t="s">
        <v>72</v>
      </c>
      <c r="B6" s="330"/>
      <c r="C6" s="504"/>
      <c r="D6" s="332"/>
      <c r="E6" s="332"/>
      <c r="F6" s="332"/>
      <c r="G6" s="332"/>
      <c r="H6" s="330"/>
      <c r="J6" s="99"/>
      <c r="K6" s="99"/>
    </row>
    <row r="7" spans="1:11" ht="21" x14ac:dyDescent="0.4">
      <c r="A7" s="503" t="s">
        <v>9</v>
      </c>
      <c r="B7" s="330"/>
      <c r="C7" s="504"/>
      <c r="D7" s="332"/>
      <c r="E7" s="332"/>
      <c r="F7" s="332"/>
      <c r="G7" s="332"/>
      <c r="H7" s="330"/>
      <c r="I7" s="366"/>
      <c r="J7" s="332"/>
      <c r="K7" s="330"/>
    </row>
    <row r="8" spans="1:11" ht="41.4" x14ac:dyDescent="0.4">
      <c r="A8" s="508" t="s">
        <v>61</v>
      </c>
      <c r="B8" s="330"/>
      <c r="C8" s="101" t="s">
        <v>11</v>
      </c>
      <c r="D8" s="518" t="s">
        <v>12</v>
      </c>
      <c r="E8" s="332"/>
      <c r="F8" s="330"/>
      <c r="G8" s="102" t="s">
        <v>130</v>
      </c>
      <c r="H8" s="103" t="s">
        <v>84</v>
      </c>
      <c r="I8" s="41"/>
      <c r="J8" s="41"/>
      <c r="K8" s="41"/>
    </row>
    <row r="9" spans="1:11" ht="14.4" x14ac:dyDescent="0.3">
      <c r="A9" s="507" t="s">
        <v>19</v>
      </c>
      <c r="B9" s="104" t="s">
        <v>20</v>
      </c>
      <c r="C9" s="104" t="s">
        <v>85</v>
      </c>
      <c r="D9" s="492">
        <f>D4</f>
        <v>313.2</v>
      </c>
      <c r="E9" s="332"/>
      <c r="F9" s="330"/>
      <c r="G9" s="104">
        <f>D5*1</f>
        <v>1</v>
      </c>
      <c r="H9" s="104">
        <v>90</v>
      </c>
      <c r="I9" s="13"/>
      <c r="J9" s="13"/>
      <c r="K9" s="43"/>
    </row>
    <row r="10" spans="1:11" ht="14.4" x14ac:dyDescent="0.3">
      <c r="A10" s="500"/>
      <c r="B10" s="104" t="s">
        <v>23</v>
      </c>
      <c r="C10" s="104" t="s">
        <v>86</v>
      </c>
      <c r="D10" s="492">
        <f>D4</f>
        <v>313.2</v>
      </c>
      <c r="E10" s="332"/>
      <c r="F10" s="330"/>
      <c r="G10" s="104">
        <f>D5*1</f>
        <v>1</v>
      </c>
      <c r="H10" s="104">
        <v>90</v>
      </c>
      <c r="I10" s="13"/>
      <c r="J10" s="13"/>
      <c r="K10" s="43"/>
    </row>
    <row r="11" spans="1:11" ht="14.4" x14ac:dyDescent="0.3">
      <c r="A11" s="501"/>
      <c r="B11" s="104" t="s">
        <v>26</v>
      </c>
      <c r="C11" s="104" t="s">
        <v>87</v>
      </c>
      <c r="D11" s="492">
        <f>D3-1</f>
        <v>199</v>
      </c>
      <c r="E11" s="332"/>
      <c r="F11" s="330"/>
      <c r="G11" s="104">
        <f>D5*2</f>
        <v>2</v>
      </c>
      <c r="H11" s="104">
        <v>90</v>
      </c>
      <c r="I11" s="13"/>
      <c r="J11" s="13"/>
      <c r="K11" s="43"/>
    </row>
    <row r="12" spans="1:11" ht="14.4" x14ac:dyDescent="0.3">
      <c r="A12" s="499" t="s">
        <v>29</v>
      </c>
      <c r="B12" s="104" t="s">
        <v>142</v>
      </c>
      <c r="C12" s="104" t="s">
        <v>90</v>
      </c>
      <c r="D12" s="492">
        <f>D3-2</f>
        <v>198</v>
      </c>
      <c r="E12" s="332"/>
      <c r="F12" s="330"/>
      <c r="G12" s="104">
        <f>D5*4</f>
        <v>4</v>
      </c>
      <c r="H12" s="104">
        <v>90</v>
      </c>
      <c r="I12" s="13"/>
      <c r="J12" s="13"/>
      <c r="K12" s="43"/>
    </row>
    <row r="13" spans="1:11" ht="14.4" x14ac:dyDescent="0.3">
      <c r="A13" s="500"/>
      <c r="B13" s="104" t="s">
        <v>143</v>
      </c>
      <c r="C13" s="104" t="s">
        <v>92</v>
      </c>
      <c r="D13" s="492">
        <f>D3-2</f>
        <v>198</v>
      </c>
      <c r="E13" s="332"/>
      <c r="F13" s="330"/>
      <c r="G13" s="104">
        <f>D5*4</f>
        <v>4</v>
      </c>
      <c r="H13" s="104">
        <v>90</v>
      </c>
      <c r="I13" s="13"/>
      <c r="J13" s="13"/>
      <c r="K13" s="43"/>
    </row>
    <row r="14" spans="1:11" ht="14.4" x14ac:dyDescent="0.3">
      <c r="A14" s="500"/>
      <c r="B14" s="104" t="s">
        <v>154</v>
      </c>
      <c r="C14" s="104" t="s">
        <v>132</v>
      </c>
      <c r="D14" s="492">
        <f>D3-2</f>
        <v>198</v>
      </c>
      <c r="E14" s="332"/>
      <c r="F14" s="330"/>
      <c r="G14" s="104">
        <f>D5*1</f>
        <v>1</v>
      </c>
      <c r="H14" s="104">
        <v>90</v>
      </c>
      <c r="I14" s="13"/>
      <c r="J14" s="13"/>
      <c r="K14" s="43"/>
    </row>
    <row r="15" spans="1:11" ht="14.4" x14ac:dyDescent="0.25">
      <c r="A15" s="500"/>
      <c r="B15" s="104" t="s">
        <v>93</v>
      </c>
      <c r="C15" s="104" t="s">
        <v>94</v>
      </c>
      <c r="D15" s="492">
        <f>(D4+1.3)/4</f>
        <v>78.625</v>
      </c>
      <c r="E15" s="332"/>
      <c r="F15" s="330"/>
      <c r="G15" s="104">
        <f>D5*4</f>
        <v>4</v>
      </c>
      <c r="H15" s="104">
        <v>90</v>
      </c>
      <c r="I15" s="13"/>
      <c r="J15" s="13"/>
      <c r="K15" s="75"/>
    </row>
    <row r="16" spans="1:11" ht="14.4" x14ac:dyDescent="0.25">
      <c r="A16" s="501"/>
      <c r="B16" s="104" t="s">
        <v>95</v>
      </c>
      <c r="C16" s="104" t="s">
        <v>96</v>
      </c>
      <c r="D16" s="492">
        <f>(D4+1.3)/4</f>
        <v>78.625</v>
      </c>
      <c r="E16" s="332"/>
      <c r="F16" s="330"/>
      <c r="G16" s="104">
        <f>D5*4</f>
        <v>4</v>
      </c>
      <c r="H16" s="104">
        <v>90</v>
      </c>
      <c r="I16" s="13"/>
      <c r="J16" s="13"/>
      <c r="K16" s="105"/>
    </row>
    <row r="17" spans="1:11" ht="15" customHeight="1" x14ac:dyDescent="0.25">
      <c r="A17" s="502" t="s">
        <v>39</v>
      </c>
      <c r="B17" s="359" t="s">
        <v>148</v>
      </c>
      <c r="C17" s="341"/>
      <c r="D17" s="526" t="s">
        <v>3</v>
      </c>
      <c r="E17" s="527" t="s">
        <v>41</v>
      </c>
      <c r="F17" s="336"/>
      <c r="G17" s="485"/>
      <c r="H17" s="485"/>
      <c r="I17" s="106"/>
      <c r="J17" s="97"/>
      <c r="K17" s="97"/>
    </row>
    <row r="18" spans="1:11" ht="15" customHeight="1" x14ac:dyDescent="0.25">
      <c r="A18" s="500"/>
      <c r="B18" s="354"/>
      <c r="C18" s="354"/>
      <c r="D18" s="342"/>
      <c r="E18" s="337"/>
      <c r="F18" s="339"/>
      <c r="G18" s="342"/>
      <c r="H18" s="354"/>
      <c r="I18" s="106"/>
      <c r="J18" s="97"/>
      <c r="K18" s="97"/>
    </row>
    <row r="19" spans="1:11" ht="14.4" x14ac:dyDescent="0.25">
      <c r="A19" s="501"/>
      <c r="B19" s="342"/>
      <c r="C19" s="342"/>
      <c r="D19" s="19">
        <f>D3-10.2</f>
        <v>189.8</v>
      </c>
      <c r="E19" s="357">
        <f>D15-5.3</f>
        <v>73.325000000000003</v>
      </c>
      <c r="F19" s="330"/>
      <c r="G19" s="18">
        <f>D5*4</f>
        <v>4</v>
      </c>
      <c r="H19" s="342"/>
      <c r="I19" s="106"/>
      <c r="J19" s="97"/>
      <c r="K19" s="97"/>
    </row>
    <row r="20" spans="1:11" ht="15.6" x14ac:dyDescent="0.3">
      <c r="A20" s="107" t="s">
        <v>42</v>
      </c>
      <c r="B20" s="104">
        <v>8025</v>
      </c>
      <c r="C20" s="104"/>
      <c r="D20" s="494"/>
      <c r="E20" s="332"/>
      <c r="F20" s="330"/>
      <c r="G20" s="104">
        <f>(D19*8)+(E19*8)*D5</f>
        <v>2105</v>
      </c>
      <c r="H20" s="104" t="s">
        <v>43</v>
      </c>
      <c r="I20" s="106"/>
      <c r="J20" s="97"/>
      <c r="K20" s="97"/>
    </row>
    <row r="21" spans="1:11" ht="15.75" customHeight="1" x14ac:dyDescent="0.25">
      <c r="A21" s="499" t="s">
        <v>44</v>
      </c>
      <c r="B21" s="104" t="s">
        <v>45</v>
      </c>
      <c r="C21" s="104"/>
      <c r="D21" s="493"/>
      <c r="E21" s="332"/>
      <c r="F21" s="330"/>
      <c r="G21" s="104">
        <f>D5*36</f>
        <v>36</v>
      </c>
      <c r="H21" s="104"/>
      <c r="I21" s="505"/>
      <c r="J21" s="97"/>
      <c r="K21" s="97"/>
    </row>
    <row r="22" spans="1:11" ht="15.75" customHeight="1" x14ac:dyDescent="0.25">
      <c r="A22" s="500"/>
      <c r="B22" s="104" t="s">
        <v>116</v>
      </c>
      <c r="C22" s="104"/>
      <c r="D22" s="493"/>
      <c r="E22" s="332"/>
      <c r="F22" s="330"/>
      <c r="G22" s="104">
        <f>D5*10</f>
        <v>10</v>
      </c>
      <c r="H22" s="104"/>
      <c r="I22" s="506"/>
      <c r="J22" s="97"/>
      <c r="K22" s="97"/>
    </row>
    <row r="23" spans="1:11" ht="15.75" customHeight="1" x14ac:dyDescent="0.25">
      <c r="A23" s="501"/>
      <c r="B23" s="104" t="s">
        <v>100</v>
      </c>
      <c r="C23" s="104"/>
      <c r="D23" s="493"/>
      <c r="E23" s="332"/>
      <c r="F23" s="330"/>
      <c r="G23" s="104">
        <f>D5*12</f>
        <v>12</v>
      </c>
      <c r="H23" s="104"/>
      <c r="I23" s="506"/>
      <c r="J23" s="97"/>
      <c r="K23" s="97"/>
    </row>
    <row r="24" spans="1:11" ht="15.75" customHeight="1" x14ac:dyDescent="0.3">
      <c r="A24" s="107" t="s">
        <v>70</v>
      </c>
      <c r="B24" s="104" t="s">
        <v>101</v>
      </c>
      <c r="C24" s="104"/>
      <c r="D24" s="493"/>
      <c r="E24" s="332"/>
      <c r="F24" s="330"/>
      <c r="G24" s="104">
        <f>D5*10</f>
        <v>10</v>
      </c>
      <c r="H24" s="104"/>
      <c r="I24" s="106"/>
      <c r="J24" s="97"/>
      <c r="K24" s="97"/>
    </row>
    <row r="25" spans="1:11" ht="15.75" customHeight="1" x14ac:dyDescent="0.25">
      <c r="A25" s="109" t="s">
        <v>80</v>
      </c>
      <c r="B25" s="104" t="s">
        <v>149</v>
      </c>
      <c r="C25" s="104"/>
      <c r="D25" s="493"/>
      <c r="E25" s="332"/>
      <c r="F25" s="330"/>
      <c r="G25" s="104">
        <f>D5*4</f>
        <v>4</v>
      </c>
      <c r="H25" s="104"/>
      <c r="I25" s="106"/>
      <c r="J25" s="97"/>
      <c r="K25" s="97"/>
    </row>
    <row r="26" spans="1:11" ht="15.75" customHeight="1" x14ac:dyDescent="0.25">
      <c r="A26" s="499" t="s">
        <v>53</v>
      </c>
      <c r="B26" s="104" t="s">
        <v>155</v>
      </c>
      <c r="C26" s="104"/>
      <c r="D26" s="493"/>
      <c r="E26" s="332"/>
      <c r="F26" s="330"/>
      <c r="G26" s="104">
        <f>D5*4</f>
        <v>4</v>
      </c>
      <c r="H26" s="104"/>
      <c r="I26" s="106"/>
      <c r="J26" s="97"/>
      <c r="K26" s="97"/>
    </row>
    <row r="27" spans="1:11" ht="15.75" customHeight="1" x14ac:dyDescent="0.25">
      <c r="A27" s="501"/>
      <c r="B27" s="104" t="s">
        <v>156</v>
      </c>
      <c r="C27" s="104"/>
      <c r="D27" s="493"/>
      <c r="E27" s="332"/>
      <c r="F27" s="330"/>
      <c r="G27" s="104">
        <f>D5*4</f>
        <v>4</v>
      </c>
      <c r="H27" s="104"/>
      <c r="I27" s="106"/>
      <c r="J27" s="97"/>
      <c r="K27" s="97"/>
    </row>
    <row r="28" spans="1:11" ht="15.75" customHeight="1" x14ac:dyDescent="0.3">
      <c r="A28" s="107" t="s">
        <v>54</v>
      </c>
      <c r="B28" s="104" t="s">
        <v>136</v>
      </c>
      <c r="C28" s="104"/>
      <c r="D28" s="493"/>
      <c r="E28" s="332"/>
      <c r="F28" s="330"/>
      <c r="G28" s="104">
        <f>D5*1</f>
        <v>1</v>
      </c>
      <c r="H28" s="104"/>
      <c r="I28" s="106"/>
      <c r="J28" s="97"/>
      <c r="K28" s="97"/>
    </row>
    <row r="29" spans="1:11" ht="15.75" customHeight="1" x14ac:dyDescent="0.3">
      <c r="A29" s="513" t="s">
        <v>56</v>
      </c>
      <c r="B29" s="330"/>
      <c r="C29" s="491"/>
      <c r="D29" s="332"/>
      <c r="E29" s="332"/>
      <c r="F29" s="332"/>
      <c r="G29" s="332"/>
      <c r="H29" s="330"/>
      <c r="I29" s="106"/>
      <c r="J29" s="97"/>
      <c r="K29" s="97"/>
    </row>
    <row r="30" spans="1:11" ht="15.75" customHeight="1" x14ac:dyDescent="0.3">
      <c r="A30" s="513" t="s">
        <v>57</v>
      </c>
      <c r="B30" s="330"/>
      <c r="C30" s="491"/>
      <c r="D30" s="332"/>
      <c r="E30" s="332"/>
      <c r="F30" s="332"/>
      <c r="G30" s="332"/>
      <c r="H30" s="330"/>
      <c r="I30" s="106"/>
      <c r="J30" s="97"/>
      <c r="K30" s="97"/>
    </row>
    <row r="31" spans="1:11" ht="15.75" customHeight="1" x14ac:dyDescent="0.3">
      <c r="A31" s="525" t="s">
        <v>58</v>
      </c>
      <c r="B31" s="335"/>
      <c r="C31" s="335"/>
      <c r="D31" s="335"/>
      <c r="E31" s="336"/>
      <c r="F31" s="491"/>
      <c r="G31" s="332"/>
      <c r="H31" s="330"/>
      <c r="I31" s="97"/>
      <c r="J31" s="97"/>
      <c r="K31" s="97"/>
    </row>
    <row r="32" spans="1:11" ht="15.75" customHeight="1" x14ac:dyDescent="0.3">
      <c r="A32" s="338"/>
      <c r="B32" s="338"/>
      <c r="C32" s="338"/>
      <c r="D32" s="338"/>
      <c r="E32" s="339"/>
      <c r="F32" s="496" t="s">
        <v>59</v>
      </c>
      <c r="G32" s="497"/>
      <c r="H32" s="498"/>
      <c r="I32" s="97"/>
      <c r="J32" s="97"/>
      <c r="K32" s="97"/>
    </row>
    <row r="33" spans="1:11" ht="15.75" customHeight="1" x14ac:dyDescent="0.3">
      <c r="A33" s="55"/>
      <c r="B33" s="55"/>
      <c r="C33" s="490"/>
      <c r="D33" s="327"/>
      <c r="E33" s="327"/>
      <c r="F33" s="327"/>
      <c r="G33" s="327"/>
      <c r="H33" s="112"/>
      <c r="I33" s="97"/>
      <c r="J33" s="97"/>
      <c r="K33" s="97"/>
    </row>
    <row r="34" spans="1:11" ht="15.75" customHeight="1" x14ac:dyDescent="0.4">
      <c r="A34" s="70"/>
      <c r="B34" s="56"/>
      <c r="C34" s="112"/>
      <c r="D34" s="2"/>
      <c r="E34" s="32"/>
      <c r="F34" s="32"/>
      <c r="G34" s="112"/>
      <c r="H34" s="122"/>
      <c r="I34" s="97"/>
      <c r="J34" s="97"/>
      <c r="K34" s="97"/>
    </row>
    <row r="35" spans="1:11" ht="15.75" customHeight="1" x14ac:dyDescent="0.4">
      <c r="A35" s="70"/>
      <c r="B35" s="32"/>
      <c r="C35" s="32"/>
      <c r="D35" s="32"/>
      <c r="E35" s="32"/>
      <c r="F35" s="32"/>
      <c r="G35" s="112"/>
      <c r="H35" s="122"/>
      <c r="I35" s="97"/>
      <c r="J35" s="97"/>
      <c r="K35" s="97"/>
    </row>
    <row r="36" spans="1:11" ht="15.75" customHeight="1" x14ac:dyDescent="0.4">
      <c r="A36" s="70"/>
      <c r="B36" s="32"/>
      <c r="C36" s="32"/>
      <c r="D36" s="32"/>
      <c r="E36" s="32"/>
      <c r="F36" s="32"/>
      <c r="G36" s="112"/>
      <c r="H36" s="122"/>
      <c r="I36" s="97"/>
      <c r="J36" s="97"/>
      <c r="K36" s="97"/>
    </row>
    <row r="37" spans="1:11" ht="15.75" customHeight="1" x14ac:dyDescent="0.4">
      <c r="A37" s="70"/>
      <c r="B37" s="32"/>
      <c r="C37" s="32"/>
      <c r="D37" s="32"/>
      <c r="E37" s="32"/>
      <c r="F37" s="32"/>
      <c r="G37" s="483">
        <f>D3</f>
        <v>200</v>
      </c>
      <c r="H37" s="327"/>
      <c r="I37" s="97"/>
      <c r="J37" s="97"/>
      <c r="K37" s="97"/>
    </row>
    <row r="38" spans="1:11" ht="15.75" customHeight="1" x14ac:dyDescent="0.4">
      <c r="A38" s="70"/>
      <c r="B38" s="32"/>
      <c r="C38" s="32"/>
      <c r="D38" s="32"/>
      <c r="E38" s="33"/>
      <c r="F38" s="32"/>
      <c r="G38" s="112"/>
      <c r="H38" s="122"/>
      <c r="I38" s="97"/>
      <c r="J38" s="97"/>
      <c r="K38" s="97"/>
    </row>
    <row r="39" spans="1:11" ht="15.75" customHeight="1" x14ac:dyDescent="0.4">
      <c r="A39" s="70"/>
      <c r="B39" s="32"/>
      <c r="C39" s="56"/>
      <c r="D39" s="2"/>
      <c r="E39" s="2"/>
      <c r="F39" s="2"/>
      <c r="G39" s="2"/>
      <c r="H39" s="112"/>
      <c r="I39" s="97"/>
      <c r="J39" s="97"/>
      <c r="K39" s="97"/>
    </row>
    <row r="40" spans="1:11" ht="15.75" customHeight="1" x14ac:dyDescent="0.4">
      <c r="A40" s="70"/>
      <c r="B40" s="32"/>
      <c r="C40" s="32"/>
      <c r="D40" s="32"/>
      <c r="E40" s="32"/>
      <c r="F40" s="32"/>
      <c r="G40" s="112"/>
      <c r="H40" s="112"/>
      <c r="I40" s="97"/>
      <c r="J40" s="97"/>
      <c r="K40" s="97"/>
    </row>
    <row r="41" spans="1:11" ht="15.75" customHeight="1" x14ac:dyDescent="0.3"/>
    <row r="42" spans="1:11" ht="15.75" customHeight="1" x14ac:dyDescent="0.3"/>
    <row r="43" spans="1:11" ht="15.75" customHeight="1" x14ac:dyDescent="0.4">
      <c r="B43" s="328">
        <f>D4</f>
        <v>313.2</v>
      </c>
      <c r="C43" s="327"/>
      <c r="D43" s="327"/>
      <c r="E43" s="327"/>
      <c r="F43" s="327"/>
    </row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55">
    <mergeCell ref="I21:I23"/>
    <mergeCell ref="D24:F24"/>
    <mergeCell ref="D17:D18"/>
    <mergeCell ref="D21:F21"/>
    <mergeCell ref="D20:F20"/>
    <mergeCell ref="D22:F22"/>
    <mergeCell ref="E17:F18"/>
    <mergeCell ref="E19:F19"/>
    <mergeCell ref="I7:K7"/>
    <mergeCell ref="E3:H3"/>
    <mergeCell ref="A1:H1"/>
    <mergeCell ref="A2:H2"/>
    <mergeCell ref="A3:C3"/>
    <mergeCell ref="A7:B7"/>
    <mergeCell ref="G37:H37"/>
    <mergeCell ref="B43:F43"/>
    <mergeCell ref="F32:H32"/>
    <mergeCell ref="C33:G33"/>
    <mergeCell ref="A31:E32"/>
    <mergeCell ref="F31:H31"/>
    <mergeCell ref="C30:H30"/>
    <mergeCell ref="C7:H7"/>
    <mergeCell ref="E5:H5"/>
    <mergeCell ref="A4:C4"/>
    <mergeCell ref="A5:C5"/>
    <mergeCell ref="E4:H4"/>
    <mergeCell ref="D9:F9"/>
    <mergeCell ref="A29:B29"/>
    <mergeCell ref="A30:B30"/>
    <mergeCell ref="D28:F28"/>
    <mergeCell ref="D27:F27"/>
    <mergeCell ref="C6:H6"/>
    <mergeCell ref="A6:B6"/>
    <mergeCell ref="D26:F26"/>
    <mergeCell ref="D25:F25"/>
    <mergeCell ref="D8:F8"/>
    <mergeCell ref="D10:F10"/>
    <mergeCell ref="D11:F11"/>
    <mergeCell ref="C29:H29"/>
    <mergeCell ref="D12:F12"/>
    <mergeCell ref="D23:F23"/>
    <mergeCell ref="D13:F13"/>
    <mergeCell ref="H17:H19"/>
    <mergeCell ref="G17:G18"/>
    <mergeCell ref="D16:F16"/>
    <mergeCell ref="D15:F15"/>
    <mergeCell ref="D14:F14"/>
    <mergeCell ref="C17:C19"/>
    <mergeCell ref="A12:A16"/>
    <mergeCell ref="A9:A11"/>
    <mergeCell ref="A8:B8"/>
    <mergeCell ref="A26:A27"/>
    <mergeCell ref="A21:A23"/>
    <mergeCell ref="A17:A19"/>
    <mergeCell ref="B17:B19"/>
  </mergeCells>
  <pageMargins left="0.7" right="0.7" top="0.75" bottom="0.75" header="0" footer="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6"/>
  <sheetViews>
    <sheetView topLeftCell="A40" workbookViewId="0">
      <selection activeCell="I27" sqref="I27:I29"/>
    </sheetView>
  </sheetViews>
  <sheetFormatPr baseColWidth="10" defaultColWidth="14.44140625" defaultRowHeight="15" customHeight="1" x14ac:dyDescent="0.3"/>
  <cols>
    <col min="1" max="1" width="18.88671875" customWidth="1"/>
    <col min="2" max="2" width="18.44140625" customWidth="1"/>
    <col min="3" max="3" width="8.5546875" customWidth="1"/>
    <col min="4" max="4" width="16.33203125" customWidth="1"/>
    <col min="5" max="5" width="8.5546875" customWidth="1"/>
    <col min="6" max="6" width="6.33203125" customWidth="1"/>
    <col min="7" max="8" width="8.5546875" customWidth="1"/>
    <col min="9" max="9" width="18.109375" customWidth="1"/>
    <col min="10" max="10" width="19.5546875" customWidth="1"/>
    <col min="11" max="11" width="14.5546875" customWidth="1"/>
  </cols>
  <sheetData>
    <row r="1" spans="1:11" ht="22.8" x14ac:dyDescent="0.4">
      <c r="A1" s="509"/>
      <c r="B1" s="510"/>
      <c r="C1" s="510"/>
      <c r="D1" s="510"/>
      <c r="E1" s="510"/>
      <c r="F1" s="510"/>
      <c r="G1" s="510"/>
      <c r="H1" s="511"/>
      <c r="I1" s="87"/>
      <c r="J1" s="97"/>
      <c r="K1" s="97"/>
    </row>
    <row r="2" spans="1:11" ht="22.8" x14ac:dyDescent="0.4">
      <c r="A2" s="516" t="s">
        <v>157</v>
      </c>
      <c r="B2" s="332"/>
      <c r="C2" s="332"/>
      <c r="D2" s="332"/>
      <c r="E2" s="332"/>
      <c r="F2" s="332"/>
      <c r="G2" s="332"/>
      <c r="H2" s="330"/>
      <c r="I2" s="120"/>
      <c r="J2" s="97"/>
      <c r="K2" s="97"/>
    </row>
    <row r="3" spans="1:11" ht="20.399999999999999" x14ac:dyDescent="0.35">
      <c r="A3" s="513" t="s">
        <v>3</v>
      </c>
      <c r="B3" s="332"/>
      <c r="C3" s="330"/>
      <c r="D3" s="37">
        <v>200</v>
      </c>
      <c r="E3" s="517" t="s">
        <v>129</v>
      </c>
      <c r="F3" s="332"/>
      <c r="G3" s="332"/>
      <c r="H3" s="330"/>
      <c r="I3" s="98"/>
      <c r="J3" s="99"/>
      <c r="K3" s="99"/>
    </row>
    <row r="4" spans="1:11" ht="18" customHeight="1" x14ac:dyDescent="0.35">
      <c r="A4" s="508" t="s">
        <v>6</v>
      </c>
      <c r="B4" s="332"/>
      <c r="C4" s="330"/>
      <c r="D4" s="37">
        <v>300</v>
      </c>
      <c r="E4" s="517" t="s">
        <v>129</v>
      </c>
      <c r="F4" s="332"/>
      <c r="G4" s="332"/>
      <c r="H4" s="330"/>
      <c r="I4" s="72"/>
      <c r="J4" s="99"/>
      <c r="K4" s="99"/>
    </row>
    <row r="5" spans="1:11" ht="18" customHeight="1" x14ac:dyDescent="0.35">
      <c r="A5" s="508" t="s">
        <v>7</v>
      </c>
      <c r="B5" s="332"/>
      <c r="C5" s="330"/>
      <c r="D5" s="88">
        <v>1</v>
      </c>
      <c r="E5" s="491"/>
      <c r="F5" s="332"/>
      <c r="G5" s="332"/>
      <c r="H5" s="330"/>
      <c r="I5" s="89"/>
      <c r="J5" s="99"/>
      <c r="K5" s="99"/>
    </row>
    <row r="6" spans="1:11" ht="21" x14ac:dyDescent="0.4">
      <c r="A6" s="503" t="s">
        <v>72</v>
      </c>
      <c r="B6" s="330"/>
      <c r="C6" s="504"/>
      <c r="D6" s="332"/>
      <c r="E6" s="332"/>
      <c r="F6" s="332"/>
      <c r="G6" s="332"/>
      <c r="H6" s="330"/>
      <c r="J6" s="99"/>
      <c r="K6" s="99"/>
    </row>
    <row r="7" spans="1:11" ht="21" x14ac:dyDescent="0.4">
      <c r="A7" s="503" t="s">
        <v>9</v>
      </c>
      <c r="B7" s="330"/>
      <c r="C7" s="504"/>
      <c r="D7" s="332"/>
      <c r="E7" s="332"/>
      <c r="F7" s="332"/>
      <c r="G7" s="332"/>
      <c r="H7" s="330"/>
      <c r="I7" s="366"/>
      <c r="J7" s="332"/>
      <c r="K7" s="330"/>
    </row>
    <row r="8" spans="1:11" ht="41.4" x14ac:dyDescent="0.4">
      <c r="A8" s="508" t="s">
        <v>61</v>
      </c>
      <c r="B8" s="330"/>
      <c r="C8" s="101" t="s">
        <v>11</v>
      </c>
      <c r="D8" s="518" t="s">
        <v>12</v>
      </c>
      <c r="E8" s="332"/>
      <c r="F8" s="330"/>
      <c r="G8" s="102" t="s">
        <v>130</v>
      </c>
      <c r="H8" s="103" t="s">
        <v>84</v>
      </c>
      <c r="I8" s="41"/>
      <c r="J8" s="41"/>
      <c r="K8" s="41"/>
    </row>
    <row r="9" spans="1:11" ht="14.4" x14ac:dyDescent="0.3">
      <c r="A9" s="507" t="s">
        <v>19</v>
      </c>
      <c r="B9" s="104" t="s">
        <v>20</v>
      </c>
      <c r="C9" s="104" t="s">
        <v>85</v>
      </c>
      <c r="D9" s="492">
        <f>D4</f>
        <v>300</v>
      </c>
      <c r="E9" s="332"/>
      <c r="F9" s="330"/>
      <c r="G9" s="104">
        <f>D5*1</f>
        <v>1</v>
      </c>
      <c r="H9" s="104">
        <v>90</v>
      </c>
      <c r="I9" s="13"/>
      <c r="J9" s="13"/>
      <c r="K9" s="43"/>
    </row>
    <row r="10" spans="1:11" ht="14.4" x14ac:dyDescent="0.3">
      <c r="A10" s="500"/>
      <c r="B10" s="104" t="s">
        <v>23</v>
      </c>
      <c r="C10" s="104" t="s">
        <v>86</v>
      </c>
      <c r="D10" s="492">
        <f>D4</f>
        <v>300</v>
      </c>
      <c r="E10" s="332"/>
      <c r="F10" s="330"/>
      <c r="G10" s="104">
        <f>D5*1</f>
        <v>1</v>
      </c>
      <c r="H10" s="104">
        <v>90</v>
      </c>
      <c r="I10" s="13"/>
      <c r="J10" s="13"/>
      <c r="K10" s="43"/>
    </row>
    <row r="11" spans="1:11" ht="14.4" x14ac:dyDescent="0.3">
      <c r="A11" s="501"/>
      <c r="B11" s="104" t="s">
        <v>26</v>
      </c>
      <c r="C11" s="104" t="s">
        <v>87</v>
      </c>
      <c r="D11" s="492">
        <f>D3-1</f>
        <v>199</v>
      </c>
      <c r="E11" s="332"/>
      <c r="F11" s="330"/>
      <c r="G11" s="104">
        <f>D5*2</f>
        <v>2</v>
      </c>
      <c r="H11" s="104">
        <v>90</v>
      </c>
      <c r="I11" s="13"/>
      <c r="J11" s="13"/>
      <c r="K11" s="43"/>
    </row>
    <row r="12" spans="1:11" ht="14.4" x14ac:dyDescent="0.3">
      <c r="A12" s="499" t="s">
        <v>158</v>
      </c>
      <c r="B12" s="104" t="s">
        <v>142</v>
      </c>
      <c r="C12" s="104" t="s">
        <v>90</v>
      </c>
      <c r="D12" s="492">
        <f>D3-2</f>
        <v>198</v>
      </c>
      <c r="E12" s="332"/>
      <c r="F12" s="330"/>
      <c r="G12" s="104">
        <f>D5*2</f>
        <v>2</v>
      </c>
      <c r="H12" s="104">
        <v>90</v>
      </c>
      <c r="I12" s="13"/>
      <c r="J12" s="13"/>
      <c r="K12" s="43"/>
    </row>
    <row r="13" spans="1:11" ht="14.4" x14ac:dyDescent="0.3">
      <c r="A13" s="500"/>
      <c r="B13" s="104" t="s">
        <v>143</v>
      </c>
      <c r="C13" s="104" t="s">
        <v>92</v>
      </c>
      <c r="D13" s="492">
        <f>D3-2</f>
        <v>198</v>
      </c>
      <c r="E13" s="332"/>
      <c r="F13" s="330"/>
      <c r="G13" s="104">
        <f>D5*2</f>
        <v>2</v>
      </c>
      <c r="H13" s="104">
        <v>90</v>
      </c>
      <c r="I13" s="13"/>
      <c r="J13" s="13"/>
      <c r="K13" s="43"/>
    </row>
    <row r="14" spans="1:11" ht="14.4" x14ac:dyDescent="0.3">
      <c r="A14" s="500"/>
      <c r="B14" s="104" t="s">
        <v>154</v>
      </c>
      <c r="C14" s="104" t="s">
        <v>132</v>
      </c>
      <c r="D14" s="492">
        <f>D3-2</f>
        <v>198</v>
      </c>
      <c r="E14" s="332"/>
      <c r="F14" s="330"/>
      <c r="G14" s="104">
        <f>D5*1</f>
        <v>1</v>
      </c>
      <c r="H14" s="104">
        <v>90</v>
      </c>
      <c r="I14" s="13"/>
      <c r="J14" s="13"/>
      <c r="K14" s="43"/>
    </row>
    <row r="15" spans="1:11" ht="14.4" x14ac:dyDescent="0.25">
      <c r="A15" s="500"/>
      <c r="B15" s="104" t="s">
        <v>93</v>
      </c>
      <c r="C15" s="104" t="s">
        <v>94</v>
      </c>
      <c r="D15" s="492">
        <f>D4/3-0.6</f>
        <v>99.4</v>
      </c>
      <c r="E15" s="332"/>
      <c r="F15" s="330"/>
      <c r="G15" s="104">
        <f>D5*2</f>
        <v>2</v>
      </c>
      <c r="H15" s="104">
        <v>90</v>
      </c>
      <c r="I15" s="13"/>
      <c r="J15" s="13"/>
      <c r="K15" s="75"/>
    </row>
    <row r="16" spans="1:11" ht="14.4" x14ac:dyDescent="0.25">
      <c r="A16" s="501"/>
      <c r="B16" s="104" t="s">
        <v>95</v>
      </c>
      <c r="C16" s="104" t="s">
        <v>96</v>
      </c>
      <c r="D16" s="492">
        <f>D4/3-0.6</f>
        <v>99.4</v>
      </c>
      <c r="E16" s="332"/>
      <c r="F16" s="330"/>
      <c r="G16" s="104">
        <f>D5*2</f>
        <v>2</v>
      </c>
      <c r="H16" s="104">
        <v>90</v>
      </c>
      <c r="I16" s="13"/>
      <c r="J16" s="13"/>
      <c r="K16" s="105"/>
    </row>
    <row r="17" spans="1:11" ht="14.4" x14ac:dyDescent="0.25">
      <c r="A17" s="499" t="s">
        <v>159</v>
      </c>
      <c r="B17" s="104" t="s">
        <v>30</v>
      </c>
      <c r="C17" s="104" t="s">
        <v>90</v>
      </c>
      <c r="D17" s="492"/>
      <c r="E17" s="332"/>
      <c r="F17" s="330"/>
      <c r="G17" s="104"/>
      <c r="H17" s="104"/>
      <c r="I17" s="76"/>
      <c r="J17" s="76"/>
      <c r="K17" s="123"/>
    </row>
    <row r="18" spans="1:11" ht="14.4" x14ac:dyDescent="0.25">
      <c r="A18" s="500"/>
      <c r="B18" s="104" t="s">
        <v>33</v>
      </c>
      <c r="C18" s="104" t="s">
        <v>92</v>
      </c>
      <c r="D18" s="492">
        <f>D3-2</f>
        <v>198</v>
      </c>
      <c r="E18" s="332"/>
      <c r="F18" s="330"/>
      <c r="G18" s="104">
        <f>D5*2</f>
        <v>2</v>
      </c>
      <c r="H18" s="104">
        <v>90</v>
      </c>
      <c r="I18" s="76"/>
      <c r="J18" s="76"/>
      <c r="K18" s="123"/>
    </row>
    <row r="19" spans="1:11" ht="14.4" x14ac:dyDescent="0.25">
      <c r="A19" s="500"/>
      <c r="B19" s="104" t="s">
        <v>120</v>
      </c>
      <c r="C19" s="104" t="s">
        <v>94</v>
      </c>
      <c r="D19" s="492">
        <f>D4/3-0.6</f>
        <v>99.4</v>
      </c>
      <c r="E19" s="332"/>
      <c r="F19" s="330"/>
      <c r="G19" s="104">
        <f>D5*1</f>
        <v>1</v>
      </c>
      <c r="H19" s="104">
        <v>90</v>
      </c>
      <c r="I19" s="76"/>
      <c r="J19" s="76"/>
      <c r="K19" s="123"/>
    </row>
    <row r="20" spans="1:11" ht="14.4" x14ac:dyDescent="0.25">
      <c r="A20" s="501"/>
      <c r="B20" s="104" t="s">
        <v>121</v>
      </c>
      <c r="C20" s="104" t="s">
        <v>160</v>
      </c>
      <c r="D20" s="492">
        <f>D4/3-0.6</f>
        <v>99.4</v>
      </c>
      <c r="E20" s="332"/>
      <c r="F20" s="330"/>
      <c r="G20" s="104">
        <f>D5*1</f>
        <v>1</v>
      </c>
      <c r="H20" s="104">
        <v>90</v>
      </c>
      <c r="I20" s="76"/>
      <c r="J20" s="76"/>
      <c r="K20" s="123"/>
    </row>
    <row r="21" spans="1:11" ht="15" customHeight="1" x14ac:dyDescent="0.25">
      <c r="A21" s="502" t="s">
        <v>161</v>
      </c>
      <c r="B21" s="359" t="s">
        <v>148</v>
      </c>
      <c r="C21" s="341"/>
      <c r="D21" s="526" t="s">
        <v>3</v>
      </c>
      <c r="E21" s="527" t="s">
        <v>41</v>
      </c>
      <c r="F21" s="336"/>
      <c r="G21" s="485"/>
      <c r="H21" s="485"/>
      <c r="I21" s="106"/>
      <c r="J21" s="97"/>
      <c r="K21" s="97"/>
    </row>
    <row r="22" spans="1:11" ht="15" customHeight="1" x14ac:dyDescent="0.25">
      <c r="A22" s="500"/>
      <c r="B22" s="354"/>
      <c r="C22" s="354"/>
      <c r="D22" s="342"/>
      <c r="E22" s="337"/>
      <c r="F22" s="339"/>
      <c r="G22" s="342"/>
      <c r="H22" s="354"/>
      <c r="I22" s="106"/>
      <c r="J22" s="97"/>
      <c r="K22" s="97"/>
    </row>
    <row r="23" spans="1:11" ht="15.75" customHeight="1" x14ac:dyDescent="0.25">
      <c r="A23" s="501"/>
      <c r="B23" s="342"/>
      <c r="C23" s="342"/>
      <c r="D23" s="19">
        <f>D3-10.2</f>
        <v>189.8</v>
      </c>
      <c r="E23" s="357">
        <f>D15-7.1</f>
        <v>92.300000000000011</v>
      </c>
      <c r="F23" s="330"/>
      <c r="G23" s="18">
        <f>D5*1</f>
        <v>1</v>
      </c>
      <c r="H23" s="342"/>
      <c r="I23" s="106"/>
      <c r="J23" s="97"/>
      <c r="K23" s="97"/>
    </row>
    <row r="24" spans="1:11" ht="15.75" customHeight="1" x14ac:dyDescent="0.25">
      <c r="A24" s="502" t="s">
        <v>162</v>
      </c>
      <c r="B24" s="359" t="s">
        <v>148</v>
      </c>
      <c r="C24" s="341"/>
      <c r="D24" s="528">
        <f>D3-10.2</f>
        <v>189.8</v>
      </c>
      <c r="E24" s="529">
        <f>D15-6.6</f>
        <v>92.800000000000011</v>
      </c>
      <c r="F24" s="336"/>
      <c r="G24" s="485">
        <f>D5*2</f>
        <v>2</v>
      </c>
      <c r="H24" s="18"/>
      <c r="I24" s="106"/>
      <c r="J24" s="97"/>
      <c r="K24" s="97"/>
    </row>
    <row r="25" spans="1:11" ht="15.75" customHeight="1" x14ac:dyDescent="0.25">
      <c r="A25" s="501"/>
      <c r="B25" s="342"/>
      <c r="C25" s="342"/>
      <c r="D25" s="342"/>
      <c r="E25" s="337"/>
      <c r="F25" s="339"/>
      <c r="G25" s="342"/>
      <c r="H25" s="18"/>
      <c r="I25" s="106"/>
      <c r="J25" s="97"/>
      <c r="K25" s="97"/>
    </row>
    <row r="26" spans="1:11" ht="15.75" customHeight="1" x14ac:dyDescent="0.3">
      <c r="A26" s="107" t="s">
        <v>42</v>
      </c>
      <c r="B26" s="104">
        <v>8025</v>
      </c>
      <c r="C26" s="104"/>
      <c r="D26" s="494"/>
      <c r="E26" s="332"/>
      <c r="F26" s="330"/>
      <c r="G26" s="104">
        <f>(D23*8)+(E23*8)*D5</f>
        <v>2256.8000000000002</v>
      </c>
      <c r="H26" s="104" t="s">
        <v>43</v>
      </c>
      <c r="I26" s="106"/>
      <c r="J26" s="97"/>
      <c r="K26" s="97"/>
    </row>
    <row r="27" spans="1:11" ht="15.75" customHeight="1" x14ac:dyDescent="0.25">
      <c r="A27" s="499" t="s">
        <v>44</v>
      </c>
      <c r="B27" s="104" t="s">
        <v>45</v>
      </c>
      <c r="C27" s="104"/>
      <c r="D27" s="493"/>
      <c r="E27" s="332"/>
      <c r="F27" s="330"/>
      <c r="G27" s="104">
        <f>D5*36</f>
        <v>36</v>
      </c>
      <c r="H27" s="104"/>
      <c r="I27" s="505"/>
      <c r="J27" s="97"/>
      <c r="K27" s="97"/>
    </row>
    <row r="28" spans="1:11" ht="15.75" customHeight="1" x14ac:dyDescent="0.25">
      <c r="A28" s="500"/>
      <c r="B28" s="104" t="s">
        <v>116</v>
      </c>
      <c r="C28" s="104"/>
      <c r="D28" s="493"/>
      <c r="E28" s="332"/>
      <c r="F28" s="330"/>
      <c r="G28" s="104">
        <f>D5*10</f>
        <v>10</v>
      </c>
      <c r="H28" s="104"/>
      <c r="I28" s="506"/>
      <c r="J28" s="97"/>
      <c r="K28" s="97"/>
    </row>
    <row r="29" spans="1:11" ht="15.75" customHeight="1" x14ac:dyDescent="0.25">
      <c r="A29" s="501"/>
      <c r="B29" s="104" t="s">
        <v>100</v>
      </c>
      <c r="C29" s="104"/>
      <c r="D29" s="493"/>
      <c r="E29" s="332"/>
      <c r="F29" s="330"/>
      <c r="G29" s="104">
        <f>D5*12</f>
        <v>12</v>
      </c>
      <c r="H29" s="104"/>
      <c r="I29" s="506"/>
      <c r="J29" s="97"/>
      <c r="K29" s="97"/>
    </row>
    <row r="30" spans="1:11" ht="15.75" customHeight="1" x14ac:dyDescent="0.3">
      <c r="A30" s="107" t="s">
        <v>70</v>
      </c>
      <c r="B30" s="104" t="s">
        <v>101</v>
      </c>
      <c r="C30" s="104"/>
      <c r="D30" s="493"/>
      <c r="E30" s="332"/>
      <c r="F30" s="330"/>
      <c r="G30" s="104">
        <f>D5*10</f>
        <v>10</v>
      </c>
      <c r="H30" s="104"/>
      <c r="I30" s="106"/>
      <c r="J30" s="97"/>
      <c r="K30" s="97"/>
    </row>
    <row r="31" spans="1:11" ht="15.75" customHeight="1" x14ac:dyDescent="0.25">
      <c r="A31" s="109" t="s">
        <v>80</v>
      </c>
      <c r="B31" s="104" t="s">
        <v>149</v>
      </c>
      <c r="C31" s="104"/>
      <c r="D31" s="493"/>
      <c r="E31" s="332"/>
      <c r="F31" s="330"/>
      <c r="G31" s="104">
        <f>D5*4</f>
        <v>4</v>
      </c>
      <c r="H31" s="104"/>
      <c r="I31" s="106"/>
      <c r="J31" s="97"/>
      <c r="K31" s="97"/>
    </row>
    <row r="32" spans="1:11" ht="15.75" customHeight="1" x14ac:dyDescent="0.25">
      <c r="A32" s="499" t="s">
        <v>53</v>
      </c>
      <c r="B32" s="104" t="s">
        <v>155</v>
      </c>
      <c r="C32" s="104"/>
      <c r="D32" s="493"/>
      <c r="E32" s="332"/>
      <c r="F32" s="330"/>
      <c r="G32" s="104">
        <f>D5*4</f>
        <v>4</v>
      </c>
      <c r="H32" s="104"/>
      <c r="I32" s="106"/>
      <c r="J32" s="97"/>
      <c r="K32" s="97"/>
    </row>
    <row r="33" spans="1:11" ht="15.75" customHeight="1" x14ac:dyDescent="0.25">
      <c r="A33" s="501"/>
      <c r="B33" s="104" t="s">
        <v>156</v>
      </c>
      <c r="C33" s="104"/>
      <c r="D33" s="493"/>
      <c r="E33" s="332"/>
      <c r="F33" s="330"/>
      <c r="G33" s="104">
        <f>D5*4</f>
        <v>4</v>
      </c>
      <c r="H33" s="104"/>
      <c r="I33" s="106"/>
      <c r="J33" s="97"/>
      <c r="K33" s="97"/>
    </row>
    <row r="34" spans="1:11" ht="15.75" customHeight="1" x14ac:dyDescent="0.3">
      <c r="A34" s="107" t="s">
        <v>54</v>
      </c>
      <c r="B34" s="104" t="s">
        <v>136</v>
      </c>
      <c r="C34" s="104"/>
      <c r="D34" s="493"/>
      <c r="E34" s="332"/>
      <c r="F34" s="330"/>
      <c r="G34" s="104">
        <f>D5*1</f>
        <v>1</v>
      </c>
      <c r="H34" s="104"/>
      <c r="I34" s="106"/>
      <c r="J34" s="97"/>
      <c r="K34" s="97"/>
    </row>
    <row r="35" spans="1:11" ht="15.75" customHeight="1" x14ac:dyDescent="0.3">
      <c r="A35" s="513" t="s">
        <v>56</v>
      </c>
      <c r="B35" s="330"/>
      <c r="C35" s="491"/>
      <c r="D35" s="332"/>
      <c r="E35" s="332"/>
      <c r="F35" s="332"/>
      <c r="G35" s="332"/>
      <c r="H35" s="330"/>
      <c r="I35" s="106"/>
      <c r="J35" s="97"/>
      <c r="K35" s="97"/>
    </row>
    <row r="36" spans="1:11" ht="15.75" customHeight="1" x14ac:dyDescent="0.3">
      <c r="A36" s="513" t="s">
        <v>57</v>
      </c>
      <c r="B36" s="330"/>
      <c r="C36" s="491"/>
      <c r="D36" s="332"/>
      <c r="E36" s="332"/>
      <c r="F36" s="332"/>
      <c r="G36" s="332"/>
      <c r="H36" s="330"/>
      <c r="I36" s="106"/>
      <c r="J36" s="97"/>
      <c r="K36" s="97"/>
    </row>
    <row r="37" spans="1:11" ht="15.75" customHeight="1" x14ac:dyDescent="0.3">
      <c r="A37" s="525" t="s">
        <v>58</v>
      </c>
      <c r="B37" s="335"/>
      <c r="C37" s="335"/>
      <c r="D37" s="335"/>
      <c r="E37" s="336"/>
      <c r="F37" s="491"/>
      <c r="G37" s="332"/>
      <c r="H37" s="330"/>
      <c r="I37" s="97"/>
      <c r="J37" s="97"/>
      <c r="K37" s="97"/>
    </row>
    <row r="38" spans="1:11" ht="15.75" customHeight="1" x14ac:dyDescent="0.3">
      <c r="A38" s="338"/>
      <c r="B38" s="338"/>
      <c r="C38" s="338"/>
      <c r="D38" s="338"/>
      <c r="E38" s="339"/>
      <c r="F38" s="496" t="s">
        <v>59</v>
      </c>
      <c r="G38" s="497"/>
      <c r="H38" s="498"/>
      <c r="I38" s="97"/>
      <c r="J38" s="97"/>
      <c r="K38" s="97"/>
    </row>
    <row r="39" spans="1:11" ht="15.75" customHeight="1" x14ac:dyDescent="0.3">
      <c r="A39" s="55"/>
      <c r="B39" s="55"/>
      <c r="C39" s="490"/>
      <c r="D39" s="327"/>
      <c r="E39" s="327"/>
      <c r="F39" s="327"/>
      <c r="G39" s="327"/>
      <c r="H39" s="112"/>
      <c r="I39" s="97"/>
      <c r="J39" s="97"/>
      <c r="K39" s="97"/>
    </row>
    <row r="40" spans="1:11" ht="15.75" customHeight="1" x14ac:dyDescent="0.4">
      <c r="A40" s="70"/>
      <c r="B40" s="56"/>
      <c r="C40" s="112"/>
      <c r="D40" s="2"/>
      <c r="E40" s="32"/>
      <c r="F40" s="32"/>
      <c r="G40" s="112"/>
      <c r="H40" s="122"/>
      <c r="I40" s="97"/>
      <c r="J40" s="97"/>
      <c r="K40" s="97"/>
    </row>
    <row r="41" spans="1:11" ht="15.75" customHeight="1" x14ac:dyDescent="0.4">
      <c r="A41" s="70"/>
      <c r="B41" s="32"/>
      <c r="C41" s="32"/>
      <c r="D41" s="32"/>
      <c r="E41" s="32"/>
      <c r="F41" s="32"/>
      <c r="G41" s="112"/>
      <c r="H41" s="122"/>
      <c r="I41" s="97"/>
      <c r="J41" s="97"/>
      <c r="K41" s="97"/>
    </row>
    <row r="42" spans="1:11" ht="15.75" customHeight="1" x14ac:dyDescent="0.4">
      <c r="A42" s="70"/>
      <c r="B42" s="32"/>
      <c r="C42" s="32"/>
      <c r="D42" s="32"/>
      <c r="E42" s="32"/>
      <c r="F42" s="32"/>
      <c r="G42" s="112"/>
      <c r="H42" s="122"/>
      <c r="I42" s="97"/>
      <c r="J42" s="97"/>
      <c r="K42" s="97"/>
    </row>
    <row r="43" spans="1:11" ht="15.75" customHeight="1" x14ac:dyDescent="0.4">
      <c r="A43" s="70"/>
      <c r="B43" s="32"/>
      <c r="C43" s="32"/>
      <c r="D43" s="32"/>
      <c r="E43" s="32"/>
      <c r="F43" s="32"/>
      <c r="G43" s="483">
        <f>D3</f>
        <v>200</v>
      </c>
      <c r="H43" s="327"/>
      <c r="I43" s="97"/>
      <c r="J43" s="97"/>
      <c r="K43" s="97"/>
    </row>
    <row r="44" spans="1:11" ht="15.75" customHeight="1" x14ac:dyDescent="0.4">
      <c r="A44" s="70"/>
      <c r="B44" s="32"/>
      <c r="C44" s="32"/>
      <c r="D44" s="32"/>
      <c r="E44" s="33"/>
      <c r="F44" s="32"/>
      <c r="G44" s="112"/>
      <c r="H44" s="122"/>
      <c r="I44" s="97"/>
      <c r="J44" s="97"/>
      <c r="K44" s="97"/>
    </row>
    <row r="45" spans="1:11" ht="15.75" customHeight="1" x14ac:dyDescent="0.4">
      <c r="A45" s="70"/>
      <c r="B45" s="32"/>
      <c r="C45" s="56"/>
      <c r="D45" s="2"/>
      <c r="E45" s="2"/>
      <c r="F45" s="2"/>
      <c r="G45" s="2"/>
      <c r="H45" s="112"/>
      <c r="I45" s="97"/>
      <c r="J45" s="97"/>
      <c r="K45" s="97"/>
    </row>
    <row r="46" spans="1:11" ht="15.75" customHeight="1" x14ac:dyDescent="0.4">
      <c r="A46" s="70"/>
      <c r="B46" s="32"/>
      <c r="C46" s="32"/>
      <c r="D46" s="32"/>
      <c r="E46" s="32"/>
      <c r="F46" s="32"/>
      <c r="G46" s="112"/>
      <c r="H46" s="112"/>
      <c r="I46" s="97"/>
      <c r="J46" s="97"/>
      <c r="K46" s="97"/>
    </row>
    <row r="47" spans="1:11" ht="15.75" customHeight="1" x14ac:dyDescent="0.3"/>
    <row r="48" spans="1:11" ht="15.75" customHeight="1" x14ac:dyDescent="0.3"/>
    <row r="49" spans="2:6" ht="15.75" customHeight="1" x14ac:dyDescent="0.4">
      <c r="B49" s="328">
        <f>D4</f>
        <v>300</v>
      </c>
      <c r="C49" s="327"/>
      <c r="D49" s="327"/>
      <c r="E49" s="327"/>
      <c r="F49" s="327"/>
    </row>
    <row r="50" spans="2:6" ht="15.75" customHeight="1" x14ac:dyDescent="0.3"/>
    <row r="51" spans="2:6" ht="15.75" customHeight="1" x14ac:dyDescent="0.3"/>
    <row r="52" spans="2:6" ht="15.75" customHeight="1" x14ac:dyDescent="0.3"/>
    <row r="53" spans="2:6" ht="15.75" customHeight="1" x14ac:dyDescent="0.3"/>
    <row r="54" spans="2:6" ht="15.75" customHeight="1" x14ac:dyDescent="0.3"/>
    <row r="55" spans="2:6" ht="15.75" customHeight="1" x14ac:dyDescent="0.3"/>
    <row r="56" spans="2:6" ht="15.75" customHeight="1" x14ac:dyDescent="0.3"/>
    <row r="57" spans="2:6" ht="15.75" customHeight="1" x14ac:dyDescent="0.3"/>
    <row r="58" spans="2:6" ht="15.75" customHeight="1" x14ac:dyDescent="0.3"/>
    <row r="59" spans="2:6" ht="15.75" customHeight="1" x14ac:dyDescent="0.3"/>
    <row r="60" spans="2:6" ht="15.75" customHeight="1" x14ac:dyDescent="0.3"/>
    <row r="61" spans="2:6" ht="15.75" customHeight="1" x14ac:dyDescent="0.3"/>
    <row r="62" spans="2:6" ht="15.75" customHeight="1" x14ac:dyDescent="0.3"/>
    <row r="63" spans="2:6" ht="15.75" customHeight="1" x14ac:dyDescent="0.3"/>
    <row r="64" spans="2:6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</sheetData>
  <mergeCells count="66">
    <mergeCell ref="A1:H1"/>
    <mergeCell ref="A2:H2"/>
    <mergeCell ref="A7:B7"/>
    <mergeCell ref="A4:C4"/>
    <mergeCell ref="A3:C3"/>
    <mergeCell ref="C6:H6"/>
    <mergeCell ref="A6:B6"/>
    <mergeCell ref="C7:H7"/>
    <mergeCell ref="E5:H5"/>
    <mergeCell ref="E4:H4"/>
    <mergeCell ref="A5:C5"/>
    <mergeCell ref="E3:H3"/>
    <mergeCell ref="G43:H43"/>
    <mergeCell ref="B49:F49"/>
    <mergeCell ref="F38:H38"/>
    <mergeCell ref="C39:G39"/>
    <mergeCell ref="F37:H37"/>
    <mergeCell ref="A37:E38"/>
    <mergeCell ref="A12:A16"/>
    <mergeCell ref="A9:A11"/>
    <mergeCell ref="A17:A20"/>
    <mergeCell ref="A8:B8"/>
    <mergeCell ref="D10:F10"/>
    <mergeCell ref="D11:F11"/>
    <mergeCell ref="D9:F9"/>
    <mergeCell ref="D18:F18"/>
    <mergeCell ref="D19:F19"/>
    <mergeCell ref="D20:F20"/>
    <mergeCell ref="G24:G25"/>
    <mergeCell ref="A32:A33"/>
    <mergeCell ref="C35:H35"/>
    <mergeCell ref="I27:I29"/>
    <mergeCell ref="C21:C23"/>
    <mergeCell ref="A21:A23"/>
    <mergeCell ref="B21:B23"/>
    <mergeCell ref="D31:F31"/>
    <mergeCell ref="A27:A29"/>
    <mergeCell ref="A24:A25"/>
    <mergeCell ref="B24:B25"/>
    <mergeCell ref="C24:C25"/>
    <mergeCell ref="D24:D25"/>
    <mergeCell ref="E24:F25"/>
    <mergeCell ref="D34:F34"/>
    <mergeCell ref="D33:F33"/>
    <mergeCell ref="A35:B35"/>
    <mergeCell ref="A36:B36"/>
    <mergeCell ref="D32:F32"/>
    <mergeCell ref="C36:H36"/>
    <mergeCell ref="D26:F26"/>
    <mergeCell ref="D30:F30"/>
    <mergeCell ref="D27:F27"/>
    <mergeCell ref="D28:F28"/>
    <mergeCell ref="D29:F29"/>
    <mergeCell ref="D21:D22"/>
    <mergeCell ref="E21:F22"/>
    <mergeCell ref="D13:F13"/>
    <mergeCell ref="I7:K7"/>
    <mergeCell ref="D8:F8"/>
    <mergeCell ref="D12:F12"/>
    <mergeCell ref="H21:H23"/>
    <mergeCell ref="G21:G22"/>
    <mergeCell ref="D16:F16"/>
    <mergeCell ref="D15:F15"/>
    <mergeCell ref="D14:F14"/>
    <mergeCell ref="D17:F17"/>
    <mergeCell ref="E23:F23"/>
  </mergeCell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99"/>
  <sheetViews>
    <sheetView topLeftCell="A7" zoomScaleNormal="100" workbookViewId="0">
      <selection activeCell="C5" sqref="C5:H5"/>
    </sheetView>
  </sheetViews>
  <sheetFormatPr baseColWidth="10" defaultColWidth="14.44140625" defaultRowHeight="15" customHeight="1" x14ac:dyDescent="0.3"/>
  <cols>
    <col min="1" max="1" width="16.6640625" customWidth="1"/>
    <col min="2" max="2" width="19.5546875" customWidth="1"/>
    <col min="3" max="3" width="10.5546875" customWidth="1"/>
    <col min="4" max="4" width="18" customWidth="1"/>
    <col min="5" max="5" width="8.5546875" customWidth="1"/>
    <col min="6" max="6" width="5" customWidth="1"/>
    <col min="7" max="7" width="8.5546875" customWidth="1"/>
    <col min="8" max="8" width="11" style="272" customWidth="1"/>
    <col min="9" max="9" width="16.109375" style="262" customWidth="1"/>
    <col min="10" max="10" width="20.5546875" style="262" customWidth="1"/>
    <col min="11" max="11" width="16.109375" style="262" customWidth="1"/>
    <col min="12" max="12" width="14.44140625" style="262"/>
  </cols>
  <sheetData>
    <row r="1" spans="1:12" ht="15.6" customHeight="1" x14ac:dyDescent="0.4">
      <c r="A1" s="488" t="s">
        <v>163</v>
      </c>
      <c r="B1" s="332"/>
      <c r="C1" s="332"/>
      <c r="D1" s="332"/>
      <c r="E1" s="332"/>
      <c r="F1" s="332"/>
      <c r="G1" s="332"/>
      <c r="H1" s="330"/>
      <c r="I1" s="260"/>
      <c r="J1" s="261"/>
    </row>
    <row r="2" spans="1:12" s="282" customFormat="1" ht="13.2" customHeight="1" x14ac:dyDescent="0.3">
      <c r="A2" s="551" t="s">
        <v>3</v>
      </c>
      <c r="B2" s="552"/>
      <c r="C2" s="553"/>
      <c r="D2" s="278">
        <v>239.3</v>
      </c>
      <c r="E2" s="554" t="s">
        <v>4</v>
      </c>
      <c r="F2" s="555"/>
      <c r="G2" s="555"/>
      <c r="H2" s="556"/>
      <c r="I2" s="279"/>
      <c r="J2" s="280"/>
      <c r="K2" s="281"/>
      <c r="L2" s="281"/>
    </row>
    <row r="3" spans="1:12" s="282" customFormat="1" ht="13.2" customHeight="1" x14ac:dyDescent="0.3">
      <c r="A3" s="551" t="s">
        <v>6</v>
      </c>
      <c r="B3" s="552"/>
      <c r="C3" s="553"/>
      <c r="D3" s="278">
        <v>406.4</v>
      </c>
      <c r="E3" s="554" t="s">
        <v>4</v>
      </c>
      <c r="F3" s="555"/>
      <c r="G3" s="555"/>
      <c r="H3" s="556"/>
      <c r="I3" s="283"/>
      <c r="J3" s="280"/>
      <c r="K3" s="281"/>
      <c r="L3" s="281"/>
    </row>
    <row r="4" spans="1:12" s="282" customFormat="1" ht="11.4" customHeight="1" x14ac:dyDescent="0.3">
      <c r="A4" s="551" t="s">
        <v>7</v>
      </c>
      <c r="B4" s="552"/>
      <c r="C4" s="553"/>
      <c r="D4" s="284">
        <v>1</v>
      </c>
      <c r="E4" s="557"/>
      <c r="F4" s="558"/>
      <c r="G4" s="558"/>
      <c r="H4" s="559"/>
      <c r="I4" s="283"/>
      <c r="J4" s="280"/>
      <c r="K4" s="281"/>
      <c r="L4" s="281"/>
    </row>
    <row r="5" spans="1:12" s="282" customFormat="1" ht="15" customHeight="1" x14ac:dyDescent="0.3">
      <c r="A5" s="560" t="s">
        <v>72</v>
      </c>
      <c r="B5" s="562"/>
      <c r="C5" s="560" t="s">
        <v>164</v>
      </c>
      <c r="D5" s="561"/>
      <c r="E5" s="561"/>
      <c r="F5" s="561"/>
      <c r="G5" s="561"/>
      <c r="H5" s="562"/>
      <c r="I5" s="281"/>
      <c r="J5" s="280"/>
      <c r="K5" s="281"/>
      <c r="L5" s="281"/>
    </row>
    <row r="6" spans="1:12" s="282" customFormat="1" ht="15" customHeight="1" x14ac:dyDescent="0.3">
      <c r="A6" s="574" t="s">
        <v>9</v>
      </c>
      <c r="B6" s="575"/>
      <c r="C6" s="589" t="s">
        <v>165</v>
      </c>
      <c r="D6" s="590"/>
      <c r="E6" s="590"/>
      <c r="F6" s="590"/>
      <c r="G6" s="590"/>
      <c r="H6" s="591"/>
      <c r="I6" s="592"/>
      <c r="J6" s="593"/>
      <c r="K6" s="593"/>
      <c r="L6" s="281"/>
    </row>
    <row r="7" spans="1:12" s="282" customFormat="1" ht="26.4" customHeight="1" x14ac:dyDescent="0.3">
      <c r="A7" s="579" t="s">
        <v>61</v>
      </c>
      <c r="B7" s="580"/>
      <c r="C7" s="285" t="s">
        <v>11</v>
      </c>
      <c r="D7" s="584" t="s">
        <v>12</v>
      </c>
      <c r="E7" s="585"/>
      <c r="F7" s="580"/>
      <c r="G7" s="285" t="s">
        <v>13</v>
      </c>
      <c r="H7" s="286" t="s">
        <v>107</v>
      </c>
      <c r="I7" s="287"/>
      <c r="J7" s="287"/>
      <c r="K7" s="287"/>
      <c r="L7" s="281"/>
    </row>
    <row r="8" spans="1:12" ht="14.4" x14ac:dyDescent="0.3">
      <c r="A8" s="576" t="s">
        <v>19</v>
      </c>
      <c r="B8" s="249" t="s">
        <v>166</v>
      </c>
      <c r="C8" s="249"/>
      <c r="D8" s="581">
        <f>D3</f>
        <v>406.4</v>
      </c>
      <c r="E8" s="582"/>
      <c r="F8" s="583"/>
      <c r="G8" s="249">
        <f>D4*1</f>
        <v>1</v>
      </c>
      <c r="H8" s="268">
        <v>90</v>
      </c>
      <c r="I8" s="263"/>
      <c r="J8" s="263"/>
      <c r="K8" s="264"/>
    </row>
    <row r="9" spans="1:12" ht="14.4" x14ac:dyDescent="0.3">
      <c r="A9" s="577"/>
      <c r="B9" s="248" t="s">
        <v>167</v>
      </c>
      <c r="C9" s="248"/>
      <c r="D9" s="586">
        <f>D3</f>
        <v>406.4</v>
      </c>
      <c r="E9" s="587"/>
      <c r="F9" s="588"/>
      <c r="G9" s="248">
        <f>D4*1</f>
        <v>1</v>
      </c>
      <c r="H9" s="269">
        <v>90</v>
      </c>
      <c r="I9" s="263"/>
      <c r="J9" s="263"/>
      <c r="K9" s="264"/>
    </row>
    <row r="10" spans="1:12" ht="14.4" x14ac:dyDescent="0.3">
      <c r="A10" s="578"/>
      <c r="B10" s="249" t="s">
        <v>168</v>
      </c>
      <c r="C10" s="249"/>
      <c r="D10" s="581">
        <f>D2-1.2</f>
        <v>238.10000000000002</v>
      </c>
      <c r="E10" s="582"/>
      <c r="F10" s="583"/>
      <c r="G10" s="249">
        <f>D4*2</f>
        <v>2</v>
      </c>
      <c r="H10" s="268">
        <v>90</v>
      </c>
      <c r="I10" s="263"/>
      <c r="J10" s="263"/>
      <c r="K10" s="264"/>
    </row>
    <row r="11" spans="1:12" ht="14.4" x14ac:dyDescent="0.3">
      <c r="A11" s="571" t="s">
        <v>66</v>
      </c>
      <c r="B11" s="13" t="s">
        <v>142</v>
      </c>
      <c r="C11" s="13" t="s">
        <v>90</v>
      </c>
      <c r="D11" s="346">
        <f>D2-2.7</f>
        <v>236.60000000000002</v>
      </c>
      <c r="E11" s="332"/>
      <c r="F11" s="330"/>
      <c r="G11" s="13">
        <f>D4*1</f>
        <v>1</v>
      </c>
      <c r="H11" s="270">
        <v>90</v>
      </c>
      <c r="I11" s="263"/>
      <c r="J11" s="263"/>
      <c r="K11" s="264"/>
    </row>
    <row r="12" spans="1:12" ht="14.4" x14ac:dyDescent="0.3">
      <c r="A12" s="572"/>
      <c r="B12" s="249" t="s">
        <v>143</v>
      </c>
      <c r="C12" s="249" t="s">
        <v>92</v>
      </c>
      <c r="D12" s="581">
        <f>D2-2.7</f>
        <v>236.60000000000002</v>
      </c>
      <c r="E12" s="582"/>
      <c r="F12" s="583"/>
      <c r="G12" s="249">
        <f>D4*1</f>
        <v>1</v>
      </c>
      <c r="H12" s="268">
        <v>90</v>
      </c>
      <c r="I12" s="263"/>
      <c r="J12" s="263"/>
      <c r="K12" s="264"/>
    </row>
    <row r="13" spans="1:12" ht="14.4" x14ac:dyDescent="0.3">
      <c r="A13" s="572"/>
      <c r="B13" s="13" t="s">
        <v>93</v>
      </c>
      <c r="C13" s="13" t="s">
        <v>94</v>
      </c>
      <c r="D13" s="346">
        <f>(D3/3)+1.4</f>
        <v>136.86666666666667</v>
      </c>
      <c r="E13" s="332"/>
      <c r="F13" s="330"/>
      <c r="G13" s="13">
        <f>D4*1</f>
        <v>1</v>
      </c>
      <c r="H13" s="270">
        <v>90</v>
      </c>
      <c r="I13" s="263"/>
      <c r="J13" s="263"/>
      <c r="K13" s="264"/>
    </row>
    <row r="14" spans="1:12" ht="14.4" x14ac:dyDescent="0.3">
      <c r="A14" s="573"/>
      <c r="B14" s="249" t="s">
        <v>95</v>
      </c>
      <c r="C14" s="249" t="s">
        <v>96</v>
      </c>
      <c r="D14" s="581">
        <f>(D3/3)+1.4</f>
        <v>136.86666666666667</v>
      </c>
      <c r="E14" s="582"/>
      <c r="F14" s="583"/>
      <c r="G14" s="249">
        <f>D4*1</f>
        <v>1</v>
      </c>
      <c r="H14" s="268">
        <v>90</v>
      </c>
      <c r="I14" s="263"/>
      <c r="J14" s="263"/>
      <c r="K14" s="265"/>
    </row>
    <row r="15" spans="1:12" ht="14.4" x14ac:dyDescent="0.3">
      <c r="A15" s="568" t="s">
        <v>108</v>
      </c>
      <c r="B15" s="13" t="s">
        <v>142</v>
      </c>
      <c r="C15" s="13" t="s">
        <v>90</v>
      </c>
      <c r="D15" s="346">
        <f>D2-2.7</f>
        <v>236.60000000000002</v>
      </c>
      <c r="E15" s="332"/>
      <c r="F15" s="330"/>
      <c r="G15" s="13">
        <f>D4*3</f>
        <v>3</v>
      </c>
      <c r="H15" s="270">
        <v>90</v>
      </c>
      <c r="I15" s="263"/>
      <c r="J15" s="263"/>
      <c r="K15" s="266"/>
    </row>
    <row r="16" spans="1:12" ht="14.4" x14ac:dyDescent="0.3">
      <c r="A16" s="569"/>
      <c r="B16" s="249" t="s">
        <v>143</v>
      </c>
      <c r="C16" s="249" t="s">
        <v>92</v>
      </c>
      <c r="D16" s="581">
        <f>D2-2.7</f>
        <v>236.60000000000002</v>
      </c>
      <c r="E16" s="582"/>
      <c r="F16" s="583"/>
      <c r="G16" s="249">
        <f>D4*1</f>
        <v>1</v>
      </c>
      <c r="H16" s="268">
        <v>90</v>
      </c>
      <c r="I16" s="267"/>
      <c r="J16" s="261"/>
    </row>
    <row r="17" spans="1:10" ht="14.4" x14ac:dyDescent="0.3">
      <c r="A17" s="569"/>
      <c r="B17" s="13" t="s">
        <v>93</v>
      </c>
      <c r="C17" s="13" t="s">
        <v>94</v>
      </c>
      <c r="D17" s="346">
        <f>(D3/3)+1.4</f>
        <v>136.86666666666667</v>
      </c>
      <c r="E17" s="332"/>
      <c r="F17" s="330"/>
      <c r="G17" s="13">
        <f>D4*2</f>
        <v>2</v>
      </c>
      <c r="H17" s="270">
        <v>90</v>
      </c>
      <c r="I17" s="267"/>
      <c r="J17" s="261"/>
    </row>
    <row r="18" spans="1:10" ht="14.4" x14ac:dyDescent="0.3">
      <c r="A18" s="569"/>
      <c r="B18" s="249" t="s">
        <v>95</v>
      </c>
      <c r="C18" s="249" t="s">
        <v>96</v>
      </c>
      <c r="D18" s="581">
        <f>(D3/3)+1.4</f>
        <v>136.86666666666667</v>
      </c>
      <c r="E18" s="582"/>
      <c r="F18" s="583"/>
      <c r="G18" s="249">
        <f>D4*2</f>
        <v>2</v>
      </c>
      <c r="H18" s="268">
        <v>90</v>
      </c>
      <c r="I18" s="267"/>
      <c r="J18" s="261"/>
    </row>
    <row r="19" spans="1:10" ht="14.4" x14ac:dyDescent="0.3">
      <c r="A19" s="570"/>
      <c r="B19" s="13" t="s">
        <v>110</v>
      </c>
      <c r="C19" s="13" t="s">
        <v>111</v>
      </c>
      <c r="D19" s="346">
        <f>D15</f>
        <v>236.60000000000002</v>
      </c>
      <c r="E19" s="332"/>
      <c r="F19" s="330"/>
      <c r="G19" s="13">
        <f>D4*1</f>
        <v>1</v>
      </c>
      <c r="H19" s="270">
        <v>90</v>
      </c>
      <c r="I19" s="267"/>
      <c r="J19" s="261"/>
    </row>
    <row r="20" spans="1:10" ht="15.75" customHeight="1" x14ac:dyDescent="0.3">
      <c r="A20" s="563" t="s">
        <v>39</v>
      </c>
      <c r="B20" s="566" t="s">
        <v>148</v>
      </c>
      <c r="C20" s="594"/>
      <c r="D20" s="596" t="s">
        <v>3</v>
      </c>
      <c r="E20" s="598" t="s">
        <v>41</v>
      </c>
      <c r="F20" s="599"/>
      <c r="G20" s="606"/>
      <c r="H20" s="604"/>
      <c r="I20" s="267"/>
      <c r="J20" s="261"/>
    </row>
    <row r="21" spans="1:10" ht="15.75" customHeight="1" x14ac:dyDescent="0.3">
      <c r="A21" s="564"/>
      <c r="B21" s="567"/>
      <c r="C21" s="595"/>
      <c r="D21" s="597"/>
      <c r="E21" s="600"/>
      <c r="F21" s="601"/>
      <c r="G21" s="595"/>
      <c r="H21" s="605"/>
      <c r="I21" s="267"/>
      <c r="J21" s="261"/>
    </row>
    <row r="22" spans="1:10" ht="15.75" customHeight="1" x14ac:dyDescent="0.3">
      <c r="A22" s="564"/>
      <c r="B22" s="250" t="s">
        <v>113</v>
      </c>
      <c r="C22" s="255"/>
      <c r="D22" s="254">
        <f>D11-8.3</f>
        <v>228.3</v>
      </c>
      <c r="E22" s="602">
        <f>(D3/3)-5.3</f>
        <v>130.16666666666666</v>
      </c>
      <c r="F22" s="603"/>
      <c r="G22" s="253">
        <f>D4*1</f>
        <v>1</v>
      </c>
      <c r="H22" s="271"/>
      <c r="I22" s="537"/>
      <c r="J22" s="261"/>
    </row>
    <row r="23" spans="1:10" ht="15.75" customHeight="1" x14ac:dyDescent="0.3">
      <c r="A23" s="564"/>
      <c r="B23" s="251" t="s">
        <v>114</v>
      </c>
      <c r="C23" s="256"/>
      <c r="D23" s="254">
        <f t="shared" ref="D23:D24" si="0">D15-8.3</f>
        <v>228.3</v>
      </c>
      <c r="E23" s="602">
        <f>(D3/3)-4.9</f>
        <v>130.56666666666666</v>
      </c>
      <c r="F23" s="603"/>
      <c r="G23" s="253">
        <f>D4*1</f>
        <v>1</v>
      </c>
      <c r="H23" s="271"/>
      <c r="I23" s="394"/>
      <c r="J23" s="261"/>
    </row>
    <row r="24" spans="1:10" ht="15.75" customHeight="1" thickBot="1" x14ac:dyDescent="0.35">
      <c r="A24" s="565"/>
      <c r="B24" s="252" t="s">
        <v>115</v>
      </c>
      <c r="C24" s="273"/>
      <c r="D24" s="275">
        <f t="shared" si="0"/>
        <v>228.3</v>
      </c>
      <c r="E24" s="607">
        <f>(D3/3)-5.3</f>
        <v>130.16666666666666</v>
      </c>
      <c r="F24" s="608"/>
      <c r="G24" s="253">
        <f>D4*1</f>
        <v>1</v>
      </c>
      <c r="H24" s="271"/>
      <c r="I24" s="394"/>
      <c r="J24" s="261"/>
    </row>
    <row r="25" spans="1:10" ht="15.75" customHeight="1" x14ac:dyDescent="0.3">
      <c r="A25" s="66" t="s">
        <v>42</v>
      </c>
      <c r="B25" s="270">
        <v>8025</v>
      </c>
      <c r="C25" s="263"/>
      <c r="D25" s="532"/>
      <c r="E25" s="421"/>
      <c r="F25" s="421"/>
      <c r="G25" s="274">
        <f>(D22*6)+(E22*6)*D4</f>
        <v>2150.8000000000002</v>
      </c>
      <c r="H25" s="270" t="s">
        <v>43</v>
      </c>
      <c r="I25" s="267"/>
      <c r="J25" s="261"/>
    </row>
    <row r="26" spans="1:10" ht="15.75" customHeight="1" x14ac:dyDescent="0.3">
      <c r="A26" s="369" t="s">
        <v>44</v>
      </c>
      <c r="B26" s="270" t="s">
        <v>45</v>
      </c>
      <c r="C26" s="263"/>
      <c r="D26" s="530"/>
      <c r="E26" s="421"/>
      <c r="F26" s="421"/>
      <c r="G26" s="274">
        <f>D4*16</f>
        <v>16</v>
      </c>
      <c r="H26" s="270"/>
      <c r="I26" s="537"/>
      <c r="J26" s="261"/>
    </row>
    <row r="27" spans="1:10" ht="15.75" customHeight="1" x14ac:dyDescent="0.3">
      <c r="A27" s="354"/>
      <c r="B27" s="270" t="s">
        <v>116</v>
      </c>
      <c r="C27" s="263"/>
      <c r="D27" s="530"/>
      <c r="E27" s="421"/>
      <c r="F27" s="421"/>
      <c r="G27" s="274">
        <f>D4*10</f>
        <v>10</v>
      </c>
      <c r="H27" s="270"/>
      <c r="I27" s="394"/>
      <c r="J27" s="261"/>
    </row>
    <row r="28" spans="1:10" ht="15.75" customHeight="1" x14ac:dyDescent="0.3">
      <c r="A28" s="342"/>
      <c r="B28" s="270" t="s">
        <v>100</v>
      </c>
      <c r="C28" s="263"/>
      <c r="D28" s="530"/>
      <c r="E28" s="421"/>
      <c r="F28" s="421"/>
      <c r="G28" s="274">
        <f>D4*6</f>
        <v>6</v>
      </c>
      <c r="H28" s="270"/>
      <c r="I28" s="394"/>
      <c r="J28" s="261"/>
    </row>
    <row r="29" spans="1:10" ht="15.75" customHeight="1" x14ac:dyDescent="0.3">
      <c r="A29" s="66" t="s">
        <v>70</v>
      </c>
      <c r="B29" s="270" t="s">
        <v>101</v>
      </c>
      <c r="C29" s="263"/>
      <c r="D29" s="530"/>
      <c r="E29" s="421"/>
      <c r="F29" s="421"/>
      <c r="G29" s="274">
        <f>D4*10</f>
        <v>10</v>
      </c>
      <c r="H29" s="270"/>
      <c r="I29" s="267"/>
      <c r="J29" s="261"/>
    </row>
    <row r="30" spans="1:10" ht="15.75" customHeight="1" x14ac:dyDescent="0.3">
      <c r="A30" s="69" t="s">
        <v>80</v>
      </c>
      <c r="B30" s="270" t="s">
        <v>149</v>
      </c>
      <c r="C30" s="263"/>
      <c r="D30" s="530"/>
      <c r="E30" s="421"/>
      <c r="F30" s="421"/>
      <c r="G30" s="274">
        <f>D4*4</f>
        <v>4</v>
      </c>
      <c r="H30" s="270"/>
      <c r="I30" s="267"/>
      <c r="J30" s="261"/>
    </row>
    <row r="31" spans="1:10" ht="15.75" customHeight="1" x14ac:dyDescent="0.3">
      <c r="A31" s="369" t="s">
        <v>53</v>
      </c>
      <c r="B31" s="270" t="s">
        <v>150</v>
      </c>
      <c r="C31" s="263"/>
      <c r="D31" s="530"/>
      <c r="E31" s="421"/>
      <c r="F31" s="421"/>
      <c r="G31" s="274">
        <f>D4*4</f>
        <v>4</v>
      </c>
      <c r="H31" s="270"/>
      <c r="I31" s="537"/>
      <c r="J31" s="261"/>
    </row>
    <row r="32" spans="1:10" ht="15.75" customHeight="1" x14ac:dyDescent="0.3">
      <c r="A32" s="342"/>
      <c r="B32" s="270" t="s">
        <v>151</v>
      </c>
      <c r="C32" s="263"/>
      <c r="D32" s="530"/>
      <c r="E32" s="421"/>
      <c r="F32" s="421"/>
      <c r="G32" s="274">
        <f>D4*4</f>
        <v>4</v>
      </c>
      <c r="H32" s="270"/>
      <c r="I32" s="394"/>
      <c r="J32" s="261"/>
    </row>
    <row r="33" spans="1:10" ht="15.75" customHeight="1" x14ac:dyDescent="0.3">
      <c r="A33" s="66" t="s">
        <v>54</v>
      </c>
      <c r="B33" s="270" t="s">
        <v>105</v>
      </c>
      <c r="C33" s="263"/>
      <c r="D33" s="530"/>
      <c r="E33" s="421"/>
      <c r="F33" s="421"/>
      <c r="G33" s="276">
        <f>D4*1</f>
        <v>1</v>
      </c>
      <c r="H33" s="277"/>
      <c r="I33" s="267"/>
      <c r="J33" s="261"/>
    </row>
    <row r="34" spans="1:10" ht="15.75" customHeight="1" x14ac:dyDescent="0.3">
      <c r="A34" s="331" t="s">
        <v>56</v>
      </c>
      <c r="B34" s="533"/>
      <c r="C34" s="534"/>
      <c r="D34" s="535"/>
      <c r="E34" s="535"/>
      <c r="F34" s="535"/>
      <c r="G34" s="535"/>
      <c r="H34" s="536"/>
      <c r="I34" s="267"/>
      <c r="J34" s="261"/>
    </row>
    <row r="35" spans="1:10" ht="15.75" customHeight="1" x14ac:dyDescent="0.3">
      <c r="A35" s="469" t="s">
        <v>57</v>
      </c>
      <c r="B35" s="550"/>
      <c r="C35" s="360"/>
      <c r="D35" s="531"/>
      <c r="E35" s="531"/>
      <c r="F35" s="531"/>
      <c r="G35" s="531"/>
      <c r="H35" s="361"/>
      <c r="I35" s="267"/>
      <c r="J35" s="261"/>
    </row>
    <row r="36" spans="1:10" ht="18" customHeight="1" x14ac:dyDescent="0.3">
      <c r="A36" s="544" t="s">
        <v>58</v>
      </c>
      <c r="B36" s="545"/>
      <c r="C36" s="545"/>
      <c r="D36" s="545"/>
      <c r="E36" s="546"/>
      <c r="F36" s="538" t="s">
        <v>59</v>
      </c>
      <c r="G36" s="539"/>
      <c r="H36" s="540"/>
      <c r="I36" s="267"/>
      <c r="J36" s="261"/>
    </row>
    <row r="37" spans="1:10" ht="18" customHeight="1" x14ac:dyDescent="0.3">
      <c r="A37" s="547"/>
      <c r="B37" s="548"/>
      <c r="C37" s="548"/>
      <c r="D37" s="548"/>
      <c r="E37" s="549"/>
      <c r="F37" s="541"/>
      <c r="G37" s="542"/>
      <c r="H37" s="543"/>
      <c r="I37" s="267"/>
      <c r="J37" s="261"/>
    </row>
    <row r="38" spans="1:10" ht="15.75" customHeight="1" x14ac:dyDescent="0.35">
      <c r="A38" s="80"/>
      <c r="B38" s="32"/>
      <c r="C38" s="372"/>
      <c r="D38" s="327"/>
      <c r="E38" s="327"/>
      <c r="F38" s="327"/>
      <c r="G38" s="2"/>
      <c r="H38" s="257"/>
      <c r="I38" s="261"/>
      <c r="J38" s="261"/>
    </row>
    <row r="39" spans="1:10" ht="15.75" customHeight="1" x14ac:dyDescent="0.35">
      <c r="A39" s="80"/>
      <c r="B39" s="32"/>
      <c r="C39" s="2"/>
      <c r="D39" s="2"/>
      <c r="E39" s="2"/>
      <c r="F39" s="2"/>
      <c r="G39" s="2"/>
      <c r="H39" s="257"/>
      <c r="I39" s="261"/>
      <c r="J39" s="261"/>
    </row>
    <row r="40" spans="1:10" ht="15.75" customHeight="1" x14ac:dyDescent="0.35">
      <c r="A40" s="80"/>
      <c r="B40" s="32"/>
      <c r="C40" s="2"/>
      <c r="D40" s="2"/>
      <c r="E40" s="2"/>
      <c r="F40" s="2"/>
      <c r="G40" s="2"/>
      <c r="H40" s="257"/>
      <c r="I40" s="261"/>
      <c r="J40" s="261"/>
    </row>
    <row r="41" spans="1:10" ht="15.75" customHeight="1" x14ac:dyDescent="0.35">
      <c r="A41" s="80"/>
      <c r="B41" s="32"/>
      <c r="C41" s="2"/>
      <c r="D41" s="2"/>
      <c r="E41" s="2"/>
      <c r="F41" s="2"/>
      <c r="G41" s="56"/>
      <c r="H41" s="257"/>
      <c r="I41" s="261"/>
      <c r="J41" s="261"/>
    </row>
    <row r="42" spans="1:10" ht="15.75" customHeight="1" x14ac:dyDescent="0.4">
      <c r="A42" s="80"/>
      <c r="B42" s="32"/>
      <c r="C42" s="2"/>
      <c r="D42" s="2"/>
      <c r="E42" s="2"/>
      <c r="F42" s="2"/>
      <c r="G42" s="2"/>
      <c r="H42" s="258"/>
      <c r="I42" s="261"/>
      <c r="J42" s="261"/>
    </row>
    <row r="43" spans="1:10" ht="15.75" customHeight="1" x14ac:dyDescent="0.35">
      <c r="A43" s="80"/>
      <c r="B43" s="32"/>
      <c r="C43" s="2"/>
      <c r="D43" s="2"/>
      <c r="E43" s="2"/>
      <c r="F43" s="2"/>
      <c r="G43" s="2"/>
      <c r="H43" s="257"/>
      <c r="I43" s="261"/>
      <c r="J43" s="261"/>
    </row>
    <row r="44" spans="1:10" ht="15.75" customHeight="1" x14ac:dyDescent="0.35">
      <c r="A44" s="80"/>
      <c r="B44" s="32"/>
      <c r="C44" s="372"/>
      <c r="D44" s="327"/>
      <c r="E44" s="327"/>
      <c r="F44" s="327"/>
      <c r="G44" s="2"/>
      <c r="H44" s="257"/>
      <c r="I44" s="261"/>
      <c r="J44" s="261"/>
    </row>
    <row r="45" spans="1:10" ht="15.75" customHeight="1" x14ac:dyDescent="0.35">
      <c r="A45" s="80"/>
      <c r="B45" s="32"/>
      <c r="C45" s="2"/>
      <c r="D45" s="2"/>
      <c r="E45" s="2"/>
      <c r="F45" s="2"/>
      <c r="G45" s="2"/>
      <c r="H45" s="257"/>
      <c r="I45" s="261"/>
      <c r="J45" s="261"/>
    </row>
    <row r="46" spans="1:10" ht="15.75" customHeight="1" x14ac:dyDescent="0.3">
      <c r="H46" s="259"/>
    </row>
    <row r="47" spans="1:10" ht="15.75" customHeight="1" x14ac:dyDescent="0.3">
      <c r="H47" s="259"/>
    </row>
    <row r="48" spans="1:10" ht="15.75" customHeight="1" x14ac:dyDescent="0.3">
      <c r="H48" s="259"/>
    </row>
    <row r="49" spans="4:8" ht="15.75" customHeight="1" x14ac:dyDescent="0.4">
      <c r="D49" s="119"/>
      <c r="H49" s="259"/>
    </row>
    <row r="50" spans="4:8" ht="15.75" customHeight="1" x14ac:dyDescent="0.3">
      <c r="H50" s="259"/>
    </row>
    <row r="51" spans="4:8" ht="15.75" customHeight="1" x14ac:dyDescent="0.3">
      <c r="H51" s="259"/>
    </row>
    <row r="52" spans="4:8" ht="15.75" customHeight="1" x14ac:dyDescent="0.3">
      <c r="H52" s="259"/>
    </row>
    <row r="53" spans="4:8" ht="15.75" customHeight="1" x14ac:dyDescent="0.3">
      <c r="H53" s="259"/>
    </row>
    <row r="54" spans="4:8" ht="15.75" customHeight="1" x14ac:dyDescent="0.3">
      <c r="H54" s="259"/>
    </row>
    <row r="55" spans="4:8" ht="15.75" customHeight="1" x14ac:dyDescent="0.3">
      <c r="H55" s="259"/>
    </row>
    <row r="56" spans="4:8" ht="15.75" customHeight="1" x14ac:dyDescent="0.3">
      <c r="H56" s="259"/>
    </row>
    <row r="57" spans="4:8" ht="15.75" customHeight="1" x14ac:dyDescent="0.3"/>
    <row r="58" spans="4:8" ht="15.75" customHeight="1" x14ac:dyDescent="0.3"/>
    <row r="59" spans="4:8" ht="15.75" customHeight="1" x14ac:dyDescent="0.3"/>
    <row r="60" spans="4:8" ht="15.75" customHeight="1" x14ac:dyDescent="0.3"/>
    <row r="61" spans="4:8" ht="15.75" customHeight="1" x14ac:dyDescent="0.3"/>
    <row r="62" spans="4:8" ht="15.75" customHeight="1" x14ac:dyDescent="0.3"/>
    <row r="63" spans="4:8" ht="15.75" customHeight="1" x14ac:dyDescent="0.3"/>
    <row r="64" spans="4:8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</sheetData>
  <mergeCells count="61">
    <mergeCell ref="E22:F22"/>
    <mergeCell ref="H20:H21"/>
    <mergeCell ref="I22:I24"/>
    <mergeCell ref="G20:G21"/>
    <mergeCell ref="E24:F24"/>
    <mergeCell ref="E23:F23"/>
    <mergeCell ref="C6:H6"/>
    <mergeCell ref="I6:K6"/>
    <mergeCell ref="C20:C21"/>
    <mergeCell ref="D20:D21"/>
    <mergeCell ref="D19:F19"/>
    <mergeCell ref="E20:F21"/>
    <mergeCell ref="D14:F14"/>
    <mergeCell ref="D16:F16"/>
    <mergeCell ref="D17:F17"/>
    <mergeCell ref="D18:F18"/>
    <mergeCell ref="D15:F15"/>
    <mergeCell ref="C5:H5"/>
    <mergeCell ref="A20:A24"/>
    <mergeCell ref="B20:B21"/>
    <mergeCell ref="A5:B5"/>
    <mergeCell ref="A15:A19"/>
    <mergeCell ref="A11:A14"/>
    <mergeCell ref="A6:B6"/>
    <mergeCell ref="A8:A10"/>
    <mergeCell ref="A7:B7"/>
    <mergeCell ref="D11:F11"/>
    <mergeCell ref="D8:F8"/>
    <mergeCell ref="D7:F7"/>
    <mergeCell ref="D9:F9"/>
    <mergeCell ref="D10:F10"/>
    <mergeCell ref="D12:F12"/>
    <mergeCell ref="D13:F13"/>
    <mergeCell ref="A1:H1"/>
    <mergeCell ref="A4:C4"/>
    <mergeCell ref="E3:H3"/>
    <mergeCell ref="A3:C3"/>
    <mergeCell ref="E2:H2"/>
    <mergeCell ref="A2:C2"/>
    <mergeCell ref="E4:H4"/>
    <mergeCell ref="I31:I32"/>
    <mergeCell ref="I26:I28"/>
    <mergeCell ref="F36:H37"/>
    <mergeCell ref="A36:E37"/>
    <mergeCell ref="A35:B35"/>
    <mergeCell ref="D25:F25"/>
    <mergeCell ref="A34:B34"/>
    <mergeCell ref="D32:F32"/>
    <mergeCell ref="D33:F33"/>
    <mergeCell ref="D31:F31"/>
    <mergeCell ref="D30:F30"/>
    <mergeCell ref="C34:H34"/>
    <mergeCell ref="C38:F38"/>
    <mergeCell ref="C44:F44"/>
    <mergeCell ref="A31:A32"/>
    <mergeCell ref="A26:A28"/>
    <mergeCell ref="D29:F29"/>
    <mergeCell ref="D28:F28"/>
    <mergeCell ref="D26:F26"/>
    <mergeCell ref="D27:F27"/>
    <mergeCell ref="C35:H35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2" width="17.6640625" customWidth="1"/>
    <col min="3" max="3" width="14" customWidth="1"/>
    <col min="4" max="4" width="7.33203125" customWidth="1"/>
    <col min="5" max="5" width="8" customWidth="1"/>
    <col min="6" max="6" width="8.33203125" customWidth="1"/>
    <col min="7" max="7" width="12.44140625" customWidth="1"/>
    <col min="8" max="8" width="16.6640625" customWidth="1"/>
    <col min="9" max="9" width="23.6640625" customWidth="1"/>
    <col min="10" max="10" width="15.44140625" customWidth="1"/>
    <col min="11" max="13" width="8.5546875" customWidth="1"/>
  </cols>
  <sheetData>
    <row r="1" spans="1:13" ht="23.4" x14ac:dyDescent="0.45">
      <c r="A1" s="124" t="s">
        <v>169</v>
      </c>
      <c r="B1" s="338"/>
      <c r="C1" s="338"/>
      <c r="D1" s="338"/>
      <c r="E1" s="338"/>
      <c r="F1" s="338"/>
      <c r="G1" s="125"/>
      <c r="H1" s="126"/>
      <c r="I1" s="2"/>
      <c r="J1" s="2"/>
      <c r="K1" s="2"/>
    </row>
    <row r="2" spans="1:13" ht="22.8" x14ac:dyDescent="0.4">
      <c r="A2" s="343" t="s">
        <v>170</v>
      </c>
      <c r="B2" s="332"/>
      <c r="C2" s="332"/>
      <c r="D2" s="332"/>
      <c r="E2" s="332"/>
      <c r="F2" s="332"/>
      <c r="G2" s="330"/>
      <c r="H2" s="126"/>
      <c r="I2" s="2"/>
      <c r="J2" s="2"/>
      <c r="K2" s="619"/>
      <c r="L2" s="327"/>
      <c r="M2" s="327"/>
    </row>
    <row r="3" spans="1:13" ht="21" x14ac:dyDescent="0.4">
      <c r="A3" s="345" t="s">
        <v>3</v>
      </c>
      <c r="B3" s="330"/>
      <c r="C3" s="6">
        <v>150</v>
      </c>
      <c r="D3" s="489" t="s">
        <v>4</v>
      </c>
      <c r="E3" s="332"/>
      <c r="F3" s="332"/>
      <c r="G3" s="330"/>
      <c r="H3" s="128"/>
      <c r="I3" s="2"/>
      <c r="K3" s="2"/>
    </row>
    <row r="4" spans="1:13" ht="21" x14ac:dyDescent="0.4">
      <c r="A4" s="347" t="s">
        <v>6</v>
      </c>
      <c r="B4" s="330"/>
      <c r="C4" s="6">
        <v>90</v>
      </c>
      <c r="D4" s="489" t="s">
        <v>4</v>
      </c>
      <c r="E4" s="332"/>
      <c r="F4" s="332"/>
      <c r="G4" s="330"/>
      <c r="H4" s="128"/>
      <c r="I4" s="2"/>
      <c r="J4" s="2"/>
      <c r="K4" s="2"/>
    </row>
    <row r="5" spans="1:13" ht="21" x14ac:dyDescent="0.4">
      <c r="A5" s="347" t="s">
        <v>7</v>
      </c>
      <c r="B5" s="330"/>
      <c r="C5" s="129">
        <v>1</v>
      </c>
      <c r="D5" s="345"/>
      <c r="E5" s="332"/>
      <c r="F5" s="332"/>
      <c r="G5" s="330"/>
      <c r="H5" s="39"/>
      <c r="I5" s="2"/>
      <c r="J5" s="2"/>
      <c r="K5" s="2"/>
    </row>
    <row r="6" spans="1:13" ht="21" x14ac:dyDescent="0.4">
      <c r="A6" s="345" t="s">
        <v>72</v>
      </c>
      <c r="B6" s="330"/>
      <c r="C6" s="489"/>
      <c r="D6" s="332"/>
      <c r="E6" s="332"/>
      <c r="F6" s="332"/>
      <c r="G6" s="330"/>
      <c r="I6" s="2"/>
      <c r="J6" s="2"/>
      <c r="K6" s="2"/>
    </row>
    <row r="7" spans="1:13" ht="17.25" customHeight="1" x14ac:dyDescent="0.4">
      <c r="A7" s="345" t="s">
        <v>9</v>
      </c>
      <c r="B7" s="330"/>
      <c r="C7" s="345"/>
      <c r="D7" s="332"/>
      <c r="E7" s="332"/>
      <c r="F7" s="332"/>
      <c r="G7" s="330"/>
      <c r="K7" s="2"/>
    </row>
    <row r="8" spans="1:13" ht="18.75" customHeight="1" x14ac:dyDescent="0.4">
      <c r="A8" s="350" t="s">
        <v>10</v>
      </c>
      <c r="B8" s="336"/>
      <c r="C8" s="353" t="s">
        <v>11</v>
      </c>
      <c r="D8" s="616" t="s">
        <v>171</v>
      </c>
      <c r="E8" s="336"/>
      <c r="F8" s="363" t="s">
        <v>13</v>
      </c>
      <c r="G8" s="617" t="s">
        <v>14</v>
      </c>
      <c r="H8" s="366"/>
      <c r="I8" s="332"/>
      <c r="J8" s="330"/>
      <c r="K8" s="2"/>
    </row>
    <row r="9" spans="1:13" ht="21" x14ac:dyDescent="0.4">
      <c r="A9" s="337"/>
      <c r="B9" s="339"/>
      <c r="C9" s="342"/>
      <c r="D9" s="337"/>
      <c r="E9" s="339"/>
      <c r="F9" s="342"/>
      <c r="G9" s="342"/>
      <c r="H9" s="41"/>
      <c r="I9" s="41"/>
      <c r="J9" s="41"/>
      <c r="K9" s="2"/>
    </row>
    <row r="10" spans="1:13" ht="15" customHeight="1" x14ac:dyDescent="0.25">
      <c r="A10" s="349" t="s">
        <v>19</v>
      </c>
      <c r="B10" s="363" t="s">
        <v>172</v>
      </c>
      <c r="C10" s="363" t="s">
        <v>173</v>
      </c>
      <c r="D10" s="346">
        <f>C3</f>
        <v>150</v>
      </c>
      <c r="E10" s="330"/>
      <c r="F10" s="13">
        <f>C5*2</f>
        <v>2</v>
      </c>
      <c r="G10" s="363">
        <v>90</v>
      </c>
      <c r="H10" s="363"/>
      <c r="I10" s="363"/>
      <c r="J10" s="618"/>
      <c r="K10" s="130"/>
    </row>
    <row r="11" spans="1:13" ht="14.4" x14ac:dyDescent="0.3">
      <c r="A11" s="342"/>
      <c r="B11" s="342"/>
      <c r="C11" s="354"/>
      <c r="D11" s="346">
        <f>C4-5</f>
        <v>85</v>
      </c>
      <c r="E11" s="330"/>
      <c r="F11" s="13">
        <f>C5*1</f>
        <v>1</v>
      </c>
      <c r="G11" s="354"/>
      <c r="H11" s="342"/>
      <c r="I11" s="342"/>
      <c r="J11" s="342"/>
      <c r="K11" s="2"/>
    </row>
    <row r="12" spans="1:13" ht="15" customHeight="1" x14ac:dyDescent="0.3">
      <c r="A12" s="349" t="s">
        <v>66</v>
      </c>
      <c r="B12" s="363" t="s">
        <v>174</v>
      </c>
      <c r="C12" s="362" t="s">
        <v>175</v>
      </c>
      <c r="D12" s="346">
        <f>C3-4</f>
        <v>146</v>
      </c>
      <c r="E12" s="330"/>
      <c r="F12" s="13">
        <f>C5*2</f>
        <v>2</v>
      </c>
      <c r="G12" s="354"/>
      <c r="H12" s="362"/>
      <c r="I12" s="363"/>
      <c r="J12" s="615"/>
      <c r="K12" s="2"/>
      <c r="L12" s="2"/>
    </row>
    <row r="13" spans="1:13" ht="14.4" x14ac:dyDescent="0.3">
      <c r="A13" s="354"/>
      <c r="B13" s="354"/>
      <c r="C13" s="354"/>
      <c r="D13" s="346">
        <f>C4-14</f>
        <v>76</v>
      </c>
      <c r="E13" s="330"/>
      <c r="F13" s="13">
        <f>C5*1</f>
        <v>1</v>
      </c>
      <c r="G13" s="354"/>
      <c r="H13" s="354"/>
      <c r="I13" s="354"/>
      <c r="J13" s="354"/>
      <c r="K13" s="2"/>
    </row>
    <row r="14" spans="1:13" ht="14.4" x14ac:dyDescent="0.3">
      <c r="A14" s="354"/>
      <c r="B14" s="342"/>
      <c r="C14" s="342"/>
      <c r="D14" s="346">
        <f>C4-14</f>
        <v>76</v>
      </c>
      <c r="E14" s="330"/>
      <c r="F14" s="13">
        <f>C5*1</f>
        <v>1</v>
      </c>
      <c r="G14" s="342"/>
      <c r="H14" s="342"/>
      <c r="I14" s="342"/>
      <c r="J14" s="342"/>
      <c r="K14" s="2"/>
    </row>
    <row r="15" spans="1:13" ht="14.4" x14ac:dyDescent="0.3">
      <c r="A15" s="354"/>
      <c r="B15" s="61" t="s">
        <v>176</v>
      </c>
      <c r="C15" s="78" t="s">
        <v>177</v>
      </c>
      <c r="D15" s="346">
        <f t="shared" ref="D15:D16" si="0">$D$14</f>
        <v>76</v>
      </c>
      <c r="E15" s="330"/>
      <c r="F15" s="13">
        <f>C5*1</f>
        <v>1</v>
      </c>
      <c r="G15" s="61"/>
      <c r="H15" s="78"/>
      <c r="I15" s="61"/>
      <c r="J15" s="43"/>
      <c r="K15" s="2"/>
    </row>
    <row r="16" spans="1:13" ht="39.6" x14ac:dyDescent="0.3">
      <c r="A16" s="354"/>
      <c r="B16" s="61" t="s">
        <v>178</v>
      </c>
      <c r="C16" s="15" t="s">
        <v>179</v>
      </c>
      <c r="D16" s="346">
        <f t="shared" si="0"/>
        <v>76</v>
      </c>
      <c r="E16" s="330"/>
      <c r="F16" s="13">
        <f>C5*1</f>
        <v>1</v>
      </c>
      <c r="G16" s="61">
        <v>90</v>
      </c>
      <c r="H16" s="15"/>
      <c r="I16" s="61"/>
      <c r="J16" s="131"/>
      <c r="K16" s="2"/>
    </row>
    <row r="17" spans="1:13" ht="15" customHeight="1" x14ac:dyDescent="0.3">
      <c r="A17" s="354"/>
      <c r="B17" s="363" t="s">
        <v>180</v>
      </c>
      <c r="C17" s="612"/>
      <c r="D17" s="346">
        <v>3.4</v>
      </c>
      <c r="E17" s="330"/>
      <c r="F17" s="13">
        <f>C5*4</f>
        <v>4</v>
      </c>
      <c r="G17" s="363">
        <v>90</v>
      </c>
      <c r="H17" s="133"/>
      <c r="I17" s="134"/>
      <c r="J17" s="91"/>
      <c r="K17" s="2"/>
    </row>
    <row r="18" spans="1:13" ht="14.4" x14ac:dyDescent="0.3">
      <c r="A18" s="354"/>
      <c r="B18" s="354"/>
      <c r="C18" s="354"/>
      <c r="D18" s="346">
        <v>2.8</v>
      </c>
      <c r="E18" s="330"/>
      <c r="F18" s="13">
        <f>C5*4</f>
        <v>4</v>
      </c>
      <c r="G18" s="354"/>
      <c r="H18" s="133"/>
      <c r="I18" s="61"/>
      <c r="J18" s="91"/>
      <c r="K18" s="2"/>
      <c r="M18" s="2"/>
    </row>
    <row r="19" spans="1:13" ht="14.4" x14ac:dyDescent="0.3">
      <c r="A19" s="342"/>
      <c r="B19" s="342"/>
      <c r="C19" s="342"/>
      <c r="D19" s="346">
        <v>2.2000000000000002</v>
      </c>
      <c r="E19" s="330"/>
      <c r="F19" s="13">
        <f>C5*4</f>
        <v>4</v>
      </c>
      <c r="G19" s="342"/>
      <c r="H19" s="34"/>
      <c r="I19" s="135"/>
      <c r="J19" s="2"/>
      <c r="K19" s="2"/>
    </row>
    <row r="20" spans="1:13" ht="14.4" x14ac:dyDescent="0.3">
      <c r="A20" s="349" t="s">
        <v>181</v>
      </c>
      <c r="B20" s="61" t="s">
        <v>182</v>
      </c>
      <c r="C20" s="612"/>
      <c r="D20" s="346">
        <f>D13</f>
        <v>76</v>
      </c>
      <c r="E20" s="330"/>
      <c r="F20" s="13">
        <f>C5*4</f>
        <v>4</v>
      </c>
      <c r="G20" s="363">
        <v>90</v>
      </c>
      <c r="H20" s="34"/>
      <c r="I20" s="135"/>
      <c r="J20" s="136"/>
      <c r="K20" s="2"/>
    </row>
    <row r="21" spans="1:13" ht="15.75" customHeight="1" x14ac:dyDescent="0.3">
      <c r="A21" s="354"/>
      <c r="B21" s="61" t="s">
        <v>183</v>
      </c>
      <c r="C21" s="354"/>
      <c r="D21" s="346">
        <f>D10-104</f>
        <v>46</v>
      </c>
      <c r="E21" s="330"/>
      <c r="F21" s="13">
        <f>C5*2</f>
        <v>2</v>
      </c>
      <c r="G21" s="354"/>
      <c r="H21" s="34"/>
      <c r="I21" s="2"/>
      <c r="J21" s="136"/>
      <c r="K21" s="2"/>
    </row>
    <row r="22" spans="1:13" ht="15.75" customHeight="1" x14ac:dyDescent="0.3">
      <c r="A22" s="354"/>
      <c r="B22" s="61" t="s">
        <v>183</v>
      </c>
      <c r="C22" s="354"/>
      <c r="D22" s="346">
        <f>D10/2</f>
        <v>75</v>
      </c>
      <c r="E22" s="330"/>
      <c r="F22" s="13">
        <f>C5*2</f>
        <v>2</v>
      </c>
      <c r="G22" s="342"/>
      <c r="H22" s="34"/>
      <c r="I22" s="135"/>
      <c r="J22" s="2"/>
      <c r="K22" s="2"/>
    </row>
    <row r="23" spans="1:13" ht="15.75" customHeight="1" x14ac:dyDescent="0.3">
      <c r="A23" s="614" t="s">
        <v>184</v>
      </c>
      <c r="B23" s="18"/>
      <c r="C23" s="18" t="s">
        <v>3</v>
      </c>
      <c r="D23" s="613" t="s">
        <v>6</v>
      </c>
      <c r="E23" s="330"/>
      <c r="F23" s="18"/>
      <c r="G23" s="485"/>
      <c r="H23" s="34"/>
      <c r="I23" s="2"/>
      <c r="J23" s="2"/>
      <c r="K23" s="2"/>
    </row>
    <row r="24" spans="1:13" ht="15.75" customHeight="1" x14ac:dyDescent="0.3">
      <c r="A24" s="354"/>
      <c r="B24" s="17"/>
      <c r="C24" s="137">
        <f>(D12-25.8)/2</f>
        <v>60.1</v>
      </c>
      <c r="D24" s="357">
        <f>D13-0.8</f>
        <v>75.2</v>
      </c>
      <c r="E24" s="330"/>
      <c r="F24" s="18">
        <f>C5*1</f>
        <v>1</v>
      </c>
      <c r="G24" s="354"/>
      <c r="H24" s="34"/>
      <c r="I24" s="2"/>
      <c r="J24" s="2"/>
      <c r="K24" s="2"/>
    </row>
    <row r="25" spans="1:13" ht="15.75" customHeight="1" x14ac:dyDescent="0.3">
      <c r="A25" s="342"/>
      <c r="B25" s="17"/>
      <c r="C25" s="138">
        <f>(D12-13.4)/2</f>
        <v>66.3</v>
      </c>
      <c r="D25" s="357">
        <f>D24</f>
        <v>75.2</v>
      </c>
      <c r="E25" s="330"/>
      <c r="F25" s="18">
        <f>C5*1</f>
        <v>1</v>
      </c>
      <c r="G25" s="342"/>
      <c r="H25" s="34"/>
      <c r="I25" s="2"/>
      <c r="J25" s="2"/>
      <c r="K25" s="2"/>
    </row>
    <row r="26" spans="1:13" ht="15.75" customHeight="1" x14ac:dyDescent="0.3">
      <c r="A26" s="139" t="s">
        <v>185</v>
      </c>
      <c r="B26" s="13" t="s">
        <v>186</v>
      </c>
      <c r="C26" s="61"/>
      <c r="D26" s="346"/>
      <c r="E26" s="330"/>
      <c r="F26" s="53">
        <f>(C25*8)+(D25*8)*C5</f>
        <v>1132</v>
      </c>
      <c r="G26" s="61" t="s">
        <v>43</v>
      </c>
      <c r="H26" s="34"/>
      <c r="I26" s="2"/>
      <c r="J26" s="2"/>
      <c r="K26" s="2"/>
    </row>
    <row r="27" spans="1:13" ht="15.75" customHeight="1" x14ac:dyDescent="0.3">
      <c r="A27" s="374" t="s">
        <v>48</v>
      </c>
      <c r="B27" s="13" t="s">
        <v>187</v>
      </c>
      <c r="C27" s="13" t="s">
        <v>188</v>
      </c>
      <c r="D27" s="333"/>
      <c r="E27" s="330"/>
      <c r="F27" s="13">
        <f>C5*40</f>
        <v>40</v>
      </c>
      <c r="G27" s="13"/>
      <c r="H27" s="34"/>
      <c r="I27" s="2"/>
      <c r="J27" s="2"/>
      <c r="K27" s="2"/>
    </row>
    <row r="28" spans="1:13" ht="15.75" customHeight="1" x14ac:dyDescent="0.3">
      <c r="A28" s="342"/>
      <c r="B28" s="13" t="s">
        <v>187</v>
      </c>
      <c r="C28" s="13" t="s">
        <v>189</v>
      </c>
      <c r="D28" s="333"/>
      <c r="E28" s="330"/>
      <c r="F28" s="13">
        <f>C5*8</f>
        <v>8</v>
      </c>
      <c r="G28" s="13"/>
      <c r="H28" s="34"/>
      <c r="I28" s="2"/>
      <c r="J28" s="2"/>
      <c r="K28" s="2"/>
    </row>
    <row r="29" spans="1:13" ht="15.75" customHeight="1" x14ac:dyDescent="0.3">
      <c r="A29" s="374" t="s">
        <v>190</v>
      </c>
      <c r="B29" s="13" t="s">
        <v>191</v>
      </c>
      <c r="C29" s="13" t="s">
        <v>192</v>
      </c>
      <c r="D29" s="333"/>
      <c r="E29" s="330"/>
      <c r="F29" s="13">
        <f>C5*8</f>
        <v>8</v>
      </c>
      <c r="G29" s="13"/>
      <c r="H29" s="34"/>
      <c r="I29" s="2"/>
      <c r="J29" s="2"/>
      <c r="K29" s="2"/>
    </row>
    <row r="30" spans="1:13" ht="15.75" customHeight="1" x14ac:dyDescent="0.3">
      <c r="A30" s="342"/>
      <c r="B30" s="13" t="s">
        <v>193</v>
      </c>
      <c r="C30" s="13" t="s">
        <v>194</v>
      </c>
      <c r="D30" s="333"/>
      <c r="E30" s="330"/>
      <c r="F30" s="13">
        <f>C5*8</f>
        <v>8</v>
      </c>
      <c r="G30" s="13"/>
      <c r="H30" s="34"/>
      <c r="I30" s="2"/>
      <c r="J30" s="2"/>
      <c r="K30" s="2"/>
    </row>
    <row r="31" spans="1:13" ht="15.75" customHeight="1" x14ac:dyDescent="0.3">
      <c r="A31" s="140" t="s">
        <v>195</v>
      </c>
      <c r="B31" s="13" t="s">
        <v>196</v>
      </c>
      <c r="C31" s="13"/>
      <c r="D31" s="333"/>
      <c r="E31" s="330"/>
      <c r="F31" s="13">
        <f>C5*4</f>
        <v>4</v>
      </c>
      <c r="G31" s="13"/>
      <c r="H31" s="34"/>
      <c r="I31" s="2"/>
      <c r="J31" s="2"/>
      <c r="K31" s="2"/>
      <c r="L31" s="2"/>
    </row>
    <row r="32" spans="1:13" ht="15.75" customHeight="1" x14ac:dyDescent="0.3">
      <c r="A32" s="140" t="s">
        <v>197</v>
      </c>
      <c r="B32" s="13" t="s">
        <v>198</v>
      </c>
      <c r="C32" s="13"/>
      <c r="D32" s="333"/>
      <c r="E32" s="330"/>
      <c r="F32" s="13">
        <f>C5*1</f>
        <v>1</v>
      </c>
      <c r="G32" s="13"/>
      <c r="H32" s="34"/>
      <c r="I32" s="2"/>
      <c r="J32" s="2"/>
      <c r="K32" s="2"/>
    </row>
    <row r="33" spans="1:11" ht="15.75" customHeight="1" x14ac:dyDescent="0.3">
      <c r="A33" s="141" t="s">
        <v>56</v>
      </c>
      <c r="B33" s="611"/>
      <c r="C33" s="332"/>
      <c r="D33" s="332"/>
      <c r="E33" s="332"/>
      <c r="F33" s="332"/>
      <c r="G33" s="330"/>
      <c r="H33" s="34"/>
      <c r="I33" s="2"/>
      <c r="J33" s="2"/>
      <c r="K33" s="2"/>
    </row>
    <row r="34" spans="1:11" ht="15.75" customHeight="1" x14ac:dyDescent="0.3">
      <c r="A34" s="141" t="s">
        <v>57</v>
      </c>
      <c r="B34" s="610"/>
      <c r="C34" s="338"/>
      <c r="D34" s="338"/>
      <c r="E34" s="338"/>
      <c r="F34" s="338"/>
      <c r="G34" s="339"/>
      <c r="H34" s="34"/>
      <c r="I34" s="2"/>
      <c r="J34" s="2"/>
      <c r="K34" s="2"/>
    </row>
    <row r="35" spans="1:11" ht="15.75" customHeight="1" x14ac:dyDescent="0.3">
      <c r="A35" s="334" t="s">
        <v>58</v>
      </c>
      <c r="B35" s="335"/>
      <c r="C35" s="335"/>
      <c r="D35" s="335"/>
      <c r="E35" s="336"/>
      <c r="F35" s="331"/>
      <c r="G35" s="330"/>
      <c r="H35" s="34"/>
      <c r="I35" s="2"/>
      <c r="J35" s="2"/>
      <c r="K35" s="2"/>
    </row>
    <row r="36" spans="1:11" ht="15.75" customHeight="1" x14ac:dyDescent="0.3">
      <c r="A36" s="337"/>
      <c r="B36" s="338"/>
      <c r="C36" s="338"/>
      <c r="D36" s="338"/>
      <c r="E36" s="339"/>
      <c r="F36" s="331" t="s">
        <v>59</v>
      </c>
      <c r="G36" s="330"/>
      <c r="H36" s="34"/>
      <c r="I36" s="2"/>
      <c r="J36" s="2"/>
      <c r="K36" s="2"/>
    </row>
    <row r="37" spans="1:11" ht="15.75" customHeight="1" x14ac:dyDescent="0.3">
      <c r="A37" s="31"/>
      <c r="B37" s="32"/>
      <c r="C37" s="484"/>
      <c r="D37" s="327"/>
      <c r="E37" s="142"/>
      <c r="F37" s="142"/>
      <c r="G37" s="142"/>
      <c r="H37" s="34"/>
      <c r="I37" s="2"/>
      <c r="J37" s="2"/>
      <c r="K37" s="2"/>
    </row>
    <row r="38" spans="1:11" ht="15.75" customHeight="1" x14ac:dyDescent="0.3">
      <c r="A38" s="31"/>
      <c r="B38" s="32"/>
      <c r="C38" s="2"/>
      <c r="D38" s="142"/>
      <c r="E38" s="142"/>
      <c r="F38" s="142"/>
      <c r="G38" s="142"/>
      <c r="H38" s="34"/>
      <c r="I38" s="2"/>
      <c r="J38" s="2"/>
      <c r="K38" s="2"/>
    </row>
    <row r="39" spans="1:11" ht="15.75" customHeight="1" x14ac:dyDescent="0.3">
      <c r="A39" s="31"/>
      <c r="B39" s="32"/>
      <c r="C39" s="142"/>
      <c r="D39" s="142"/>
      <c r="E39" s="609"/>
      <c r="F39" s="142"/>
      <c r="G39" s="142"/>
      <c r="H39" s="34"/>
      <c r="I39" s="2"/>
      <c r="J39" s="2"/>
      <c r="K39" s="2"/>
    </row>
    <row r="40" spans="1:11" ht="15.75" customHeight="1" x14ac:dyDescent="0.3">
      <c r="A40" s="31"/>
      <c r="B40" s="32"/>
      <c r="C40" s="142"/>
      <c r="D40" s="142"/>
      <c r="E40" s="327"/>
      <c r="F40" s="142"/>
      <c r="G40" s="142"/>
      <c r="H40" s="34"/>
      <c r="I40" s="2"/>
      <c r="J40" s="2"/>
      <c r="K40" s="2"/>
    </row>
    <row r="41" spans="1:11" ht="15.75" customHeight="1" x14ac:dyDescent="0.3">
      <c r="A41" s="31"/>
      <c r="B41" s="32"/>
      <c r="C41" s="142"/>
      <c r="D41" s="142"/>
      <c r="E41" s="327"/>
      <c r="F41" s="142"/>
      <c r="G41" s="142"/>
      <c r="H41" s="34"/>
      <c r="I41" s="2"/>
      <c r="J41" s="2"/>
      <c r="K41" s="2"/>
    </row>
    <row r="42" spans="1:11" ht="15.75" customHeight="1" x14ac:dyDescent="0.3">
      <c r="A42" s="31"/>
      <c r="B42" s="32"/>
      <c r="C42" s="142"/>
      <c r="D42" s="142"/>
      <c r="E42" s="327"/>
      <c r="F42" s="142"/>
      <c r="G42" s="142"/>
      <c r="H42" s="34"/>
      <c r="I42" s="2"/>
      <c r="J42" s="2"/>
      <c r="K42" s="2"/>
    </row>
    <row r="43" spans="1:11" ht="15.75" customHeight="1" x14ac:dyDescent="0.3">
      <c r="A43" s="31"/>
      <c r="B43" s="32"/>
      <c r="C43" s="142"/>
      <c r="D43" s="142"/>
      <c r="E43" s="327"/>
      <c r="F43" s="142"/>
      <c r="G43" s="142"/>
      <c r="H43" s="34"/>
      <c r="I43" s="2"/>
      <c r="J43" s="2"/>
      <c r="K43" s="2"/>
    </row>
    <row r="44" spans="1:11" ht="15.75" customHeight="1" x14ac:dyDescent="0.35">
      <c r="A44" s="31"/>
      <c r="B44" s="32"/>
      <c r="C44" s="85">
        <f>C3</f>
        <v>150</v>
      </c>
      <c r="D44" s="142"/>
      <c r="E44" s="327"/>
      <c r="F44" s="142"/>
      <c r="G44" s="142"/>
      <c r="H44" s="34"/>
      <c r="I44" s="2"/>
      <c r="J44" s="2"/>
      <c r="K44" s="2"/>
    </row>
    <row r="45" spans="1:11" ht="15.75" customHeight="1" x14ac:dyDescent="0.3">
      <c r="A45" s="31"/>
      <c r="B45" s="32"/>
      <c r="C45" s="142"/>
      <c r="D45" s="142"/>
      <c r="E45" s="327"/>
      <c r="F45" s="142"/>
      <c r="G45" s="142"/>
      <c r="H45" s="34"/>
      <c r="I45" s="2"/>
      <c r="J45" s="2"/>
      <c r="K45" s="2"/>
    </row>
    <row r="46" spans="1:11" ht="15.75" customHeight="1" x14ac:dyDescent="0.3">
      <c r="A46" s="31"/>
      <c r="B46" s="32"/>
      <c r="C46" s="142"/>
      <c r="D46" s="142"/>
      <c r="E46" s="142"/>
      <c r="F46" s="142"/>
      <c r="G46" s="142"/>
      <c r="H46" s="34"/>
      <c r="I46" s="2"/>
      <c r="J46" s="2"/>
      <c r="K46" s="2"/>
    </row>
    <row r="47" spans="1:11" ht="15.75" customHeight="1" x14ac:dyDescent="0.3">
      <c r="A47" s="31"/>
      <c r="B47" s="32"/>
      <c r="C47" s="484"/>
      <c r="D47" s="327"/>
      <c r="E47" s="142"/>
      <c r="F47" s="142"/>
      <c r="G47" s="142"/>
      <c r="H47" s="34"/>
      <c r="I47" s="2"/>
      <c r="J47" s="2"/>
      <c r="K47" s="2"/>
    </row>
    <row r="48" spans="1:11" ht="15.75" customHeight="1" x14ac:dyDescent="0.3">
      <c r="A48" s="31"/>
      <c r="B48" s="32"/>
      <c r="C48" s="142"/>
      <c r="D48" s="142"/>
      <c r="E48" s="142"/>
      <c r="F48" s="142"/>
      <c r="G48" s="142"/>
      <c r="H48" s="34"/>
      <c r="I48" s="2"/>
      <c r="J48" s="2"/>
      <c r="K48" s="2"/>
    </row>
    <row r="49" spans="1:11" ht="15.75" customHeight="1" x14ac:dyDescent="0.3">
      <c r="A49" s="31"/>
      <c r="B49" s="32"/>
      <c r="C49" s="143"/>
      <c r="D49" s="142"/>
      <c r="E49" s="142"/>
      <c r="F49" s="142"/>
      <c r="G49" s="142"/>
      <c r="H49" s="34"/>
      <c r="K49" s="2"/>
    </row>
    <row r="50" spans="1:11" ht="15.75" customHeight="1" x14ac:dyDescent="0.3"/>
    <row r="51" spans="1:11" ht="15.75" customHeight="1" x14ac:dyDescent="0.4">
      <c r="B51" s="35">
        <f>C4</f>
        <v>90</v>
      </c>
    </row>
    <row r="52" spans="1:11" ht="15.75" customHeight="1" x14ac:dyDescent="0.3"/>
    <row r="53" spans="1:11" ht="15.75" customHeight="1" x14ac:dyDescent="0.3"/>
    <row r="54" spans="1:11" ht="15.75" customHeight="1" x14ac:dyDescent="0.3"/>
    <row r="55" spans="1:11" ht="15.75" customHeight="1" x14ac:dyDescent="0.3"/>
    <row r="56" spans="1:11" ht="15.75" customHeight="1" x14ac:dyDescent="0.3"/>
    <row r="57" spans="1:11" ht="15.75" customHeight="1" x14ac:dyDescent="0.3"/>
    <row r="58" spans="1:11" ht="15.75" customHeight="1" x14ac:dyDescent="0.3"/>
    <row r="59" spans="1:11" ht="15.75" customHeight="1" x14ac:dyDescent="0.3"/>
    <row r="60" spans="1:11" ht="15.75" customHeight="1" x14ac:dyDescent="0.3"/>
    <row r="61" spans="1:11" ht="15.75" customHeight="1" x14ac:dyDescent="0.3"/>
    <row r="62" spans="1:11" ht="15.75" customHeight="1" x14ac:dyDescent="0.3"/>
    <row r="63" spans="1:11" ht="15.75" customHeight="1" x14ac:dyDescent="0.3"/>
    <row r="64" spans="1:11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spans="6:7" ht="15.75" customHeight="1" x14ac:dyDescent="0.3"/>
    <row r="98" spans="6:7" ht="15.75" customHeight="1" x14ac:dyDescent="0.45">
      <c r="F98" s="144"/>
      <c r="G98" s="144"/>
    </row>
    <row r="99" spans="6:7" ht="15.75" customHeight="1" x14ac:dyDescent="0.3"/>
    <row r="100" spans="6:7" ht="15.75" customHeight="1" x14ac:dyDescent="0.3"/>
  </sheetData>
  <mergeCells count="73">
    <mergeCell ref="B1:F1"/>
    <mergeCell ref="A3:B3"/>
    <mergeCell ref="K2:M2"/>
    <mergeCell ref="D3:G3"/>
    <mergeCell ref="C12:C14"/>
    <mergeCell ref="H12:H14"/>
    <mergeCell ref="D14:E14"/>
    <mergeCell ref="D13:E13"/>
    <mergeCell ref="D12:E12"/>
    <mergeCell ref="C10:C11"/>
    <mergeCell ref="D11:E11"/>
    <mergeCell ref="G10:G14"/>
    <mergeCell ref="B12:B14"/>
    <mergeCell ref="A4:B4"/>
    <mergeCell ref="A5:B5"/>
    <mergeCell ref="D4:G4"/>
    <mergeCell ref="D5:G5"/>
    <mergeCell ref="A2:G2"/>
    <mergeCell ref="I10:I11"/>
    <mergeCell ref="J10:J11"/>
    <mergeCell ref="H8:J8"/>
    <mergeCell ref="J12:J14"/>
    <mergeCell ref="I12:I14"/>
    <mergeCell ref="A8:B9"/>
    <mergeCell ref="A7:B7"/>
    <mergeCell ref="A6:B6"/>
    <mergeCell ref="A12:A19"/>
    <mergeCell ref="H10:H11"/>
    <mergeCell ref="D10:E10"/>
    <mergeCell ref="D8:E9"/>
    <mergeCell ref="C8:C9"/>
    <mergeCell ref="C7:G7"/>
    <mergeCell ref="C6:G6"/>
    <mergeCell ref="F8:F9"/>
    <mergeCell ref="G8:G9"/>
    <mergeCell ref="C17:C19"/>
    <mergeCell ref="B17:B19"/>
    <mergeCell ref="G23:G25"/>
    <mergeCell ref="G20:G22"/>
    <mergeCell ref="B10:B11"/>
    <mergeCell ref="A10:A11"/>
    <mergeCell ref="C20:C22"/>
    <mergeCell ref="D16:E16"/>
    <mergeCell ref="D15:E15"/>
    <mergeCell ref="D20:E20"/>
    <mergeCell ref="D23:E23"/>
    <mergeCell ref="D25:E25"/>
    <mergeCell ref="D24:E24"/>
    <mergeCell ref="A23:A25"/>
    <mergeCell ref="A20:A22"/>
    <mergeCell ref="D17:E17"/>
    <mergeCell ref="D18:E18"/>
    <mergeCell ref="G17:G19"/>
    <mergeCell ref="B33:G33"/>
    <mergeCell ref="D28:E28"/>
    <mergeCell ref="D31:E31"/>
    <mergeCell ref="D30:E30"/>
    <mergeCell ref="D29:E29"/>
    <mergeCell ref="D32:E32"/>
    <mergeCell ref="D19:E19"/>
    <mergeCell ref="D21:E21"/>
    <mergeCell ref="D22:E22"/>
    <mergeCell ref="A29:A30"/>
    <mergeCell ref="A27:A28"/>
    <mergeCell ref="D26:E26"/>
    <mergeCell ref="D27:E27"/>
    <mergeCell ref="C37:D37"/>
    <mergeCell ref="A35:E36"/>
    <mergeCell ref="C47:D47"/>
    <mergeCell ref="E39:E45"/>
    <mergeCell ref="B34:G34"/>
    <mergeCell ref="F36:G36"/>
    <mergeCell ref="F35:G35"/>
  </mergeCells>
  <pageMargins left="0.7" right="0.7" top="0.75" bottom="0.75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Views>
    <sheetView workbookViewId="0"/>
  </sheetViews>
  <sheetFormatPr baseColWidth="10" defaultColWidth="14.44140625" defaultRowHeight="15" customHeight="1" x14ac:dyDescent="0.3"/>
  <cols>
    <col min="1" max="1" width="29.88671875" customWidth="1"/>
    <col min="2" max="2" width="20.33203125" customWidth="1"/>
    <col min="3" max="3" width="11.44140625" customWidth="1"/>
    <col min="4" max="4" width="7.33203125" customWidth="1"/>
    <col min="5" max="5" width="7.5546875" customWidth="1"/>
    <col min="6" max="6" width="8.88671875" customWidth="1"/>
    <col min="7" max="7" width="11" customWidth="1"/>
    <col min="8" max="8" width="18.6640625" customWidth="1"/>
    <col min="9" max="9" width="22.88671875" customWidth="1"/>
    <col min="10" max="10" width="15.33203125" customWidth="1"/>
    <col min="11" max="13" width="8.5546875" customWidth="1"/>
  </cols>
  <sheetData>
    <row r="1" spans="1:12" ht="23.4" x14ac:dyDescent="0.45">
      <c r="A1" s="124" t="s">
        <v>199</v>
      </c>
      <c r="B1" s="622"/>
      <c r="C1" s="332"/>
      <c r="D1" s="145"/>
      <c r="E1" s="145"/>
      <c r="F1" s="145"/>
      <c r="G1" s="145"/>
      <c r="H1" s="146"/>
      <c r="I1" s="2"/>
      <c r="J1" s="2"/>
    </row>
    <row r="2" spans="1:12" ht="21" x14ac:dyDescent="0.4">
      <c r="A2" s="343" t="s">
        <v>170</v>
      </c>
      <c r="B2" s="332"/>
      <c r="C2" s="332"/>
      <c r="D2" s="332"/>
      <c r="E2" s="332"/>
      <c r="F2" s="332"/>
      <c r="G2" s="330"/>
      <c r="H2" s="146"/>
      <c r="I2" s="2"/>
      <c r="J2" s="2"/>
    </row>
    <row r="3" spans="1:12" ht="21" x14ac:dyDescent="0.4">
      <c r="A3" s="345" t="s">
        <v>3</v>
      </c>
      <c r="B3" s="330"/>
      <c r="C3" s="6">
        <v>200</v>
      </c>
      <c r="D3" s="489" t="s">
        <v>4</v>
      </c>
      <c r="E3" s="332"/>
      <c r="F3" s="332"/>
      <c r="G3" s="330"/>
      <c r="H3" s="1"/>
      <c r="I3" s="2"/>
      <c r="J3" s="2"/>
    </row>
    <row r="4" spans="1:12" ht="21" x14ac:dyDescent="0.4">
      <c r="A4" s="347" t="s">
        <v>6</v>
      </c>
      <c r="B4" s="330"/>
      <c r="C4" s="6">
        <v>200</v>
      </c>
      <c r="D4" s="489" t="s">
        <v>4</v>
      </c>
      <c r="E4" s="332"/>
      <c r="F4" s="332"/>
      <c r="G4" s="330"/>
      <c r="H4" s="1"/>
      <c r="I4" s="2"/>
      <c r="J4" s="2"/>
    </row>
    <row r="5" spans="1:12" ht="21" x14ac:dyDescent="0.4">
      <c r="A5" s="347" t="s">
        <v>7</v>
      </c>
      <c r="B5" s="330"/>
      <c r="C5" s="129">
        <v>1</v>
      </c>
      <c r="D5" s="345"/>
      <c r="E5" s="332"/>
      <c r="F5" s="332"/>
      <c r="G5" s="330"/>
      <c r="H5" s="39"/>
      <c r="I5" s="2"/>
      <c r="J5" s="2"/>
    </row>
    <row r="6" spans="1:12" ht="21" customHeight="1" x14ac:dyDescent="0.4">
      <c r="A6" s="345" t="s">
        <v>72</v>
      </c>
      <c r="B6" s="330"/>
      <c r="C6" s="489"/>
      <c r="D6" s="332"/>
      <c r="E6" s="332"/>
      <c r="F6" s="332"/>
      <c r="G6" s="330"/>
      <c r="I6" s="2"/>
      <c r="J6" s="2"/>
    </row>
    <row r="7" spans="1:12" ht="19.5" customHeight="1" x14ac:dyDescent="0.4">
      <c r="A7" s="345" t="s">
        <v>200</v>
      </c>
      <c r="B7" s="330"/>
      <c r="C7" s="345"/>
      <c r="D7" s="332"/>
      <c r="E7" s="332"/>
      <c r="F7" s="332"/>
      <c r="G7" s="330"/>
      <c r="H7" s="366"/>
      <c r="I7" s="332"/>
      <c r="J7" s="330"/>
    </row>
    <row r="8" spans="1:12" ht="18.75" customHeight="1" x14ac:dyDescent="0.4">
      <c r="A8" s="350" t="s">
        <v>10</v>
      </c>
      <c r="B8" s="336"/>
      <c r="C8" s="353" t="s">
        <v>11</v>
      </c>
      <c r="D8" s="616" t="s">
        <v>171</v>
      </c>
      <c r="E8" s="336"/>
      <c r="F8" s="363" t="s">
        <v>13</v>
      </c>
      <c r="G8" s="617" t="s">
        <v>14</v>
      </c>
      <c r="H8" s="41"/>
      <c r="I8" s="41"/>
      <c r="J8" s="41"/>
      <c r="L8" s="32"/>
    </row>
    <row r="9" spans="1:12" ht="21" customHeight="1" x14ac:dyDescent="0.3">
      <c r="A9" s="337"/>
      <c r="B9" s="339"/>
      <c r="C9" s="342"/>
      <c r="D9" s="337"/>
      <c r="E9" s="339"/>
      <c r="F9" s="342"/>
      <c r="G9" s="342"/>
      <c r="H9" s="363"/>
      <c r="I9" s="363"/>
      <c r="J9" s="620"/>
    </row>
    <row r="10" spans="1:12" ht="15" customHeight="1" x14ac:dyDescent="0.25">
      <c r="A10" s="349" t="s">
        <v>19</v>
      </c>
      <c r="B10" s="363" t="s">
        <v>201</v>
      </c>
      <c r="C10" s="363"/>
      <c r="D10" s="346">
        <f>C3</f>
        <v>200</v>
      </c>
      <c r="E10" s="330"/>
      <c r="F10" s="13">
        <f>C5*2</f>
        <v>2</v>
      </c>
      <c r="G10" s="363">
        <v>90</v>
      </c>
      <c r="H10" s="342"/>
      <c r="I10" s="342"/>
      <c r="J10" s="342"/>
    </row>
    <row r="11" spans="1:12" ht="15" customHeight="1" x14ac:dyDescent="0.25">
      <c r="A11" s="342"/>
      <c r="B11" s="342"/>
      <c r="C11" s="354"/>
      <c r="D11" s="346">
        <f>C4-5</f>
        <v>195</v>
      </c>
      <c r="E11" s="330"/>
      <c r="F11" s="13">
        <f>C5*1</f>
        <v>1</v>
      </c>
      <c r="G11" s="354"/>
      <c r="H11" s="362"/>
      <c r="I11" s="363"/>
      <c r="J11" s="621"/>
    </row>
    <row r="12" spans="1:12" ht="15" customHeight="1" x14ac:dyDescent="0.25">
      <c r="A12" s="349" t="s">
        <v>66</v>
      </c>
      <c r="B12" s="363" t="s">
        <v>174</v>
      </c>
      <c r="C12" s="362" t="s">
        <v>175</v>
      </c>
      <c r="D12" s="346">
        <f>C3-4</f>
        <v>196</v>
      </c>
      <c r="E12" s="330"/>
      <c r="F12" s="13">
        <f>C5*4</f>
        <v>4</v>
      </c>
      <c r="G12" s="354"/>
      <c r="H12" s="354"/>
      <c r="I12" s="354"/>
      <c r="J12" s="354"/>
    </row>
    <row r="13" spans="1:12" ht="15" customHeight="1" x14ac:dyDescent="0.25">
      <c r="A13" s="354"/>
      <c r="B13" s="354"/>
      <c r="C13" s="354"/>
      <c r="D13" s="346">
        <f>(C4-6.5)/2</f>
        <v>96.75</v>
      </c>
      <c r="E13" s="330"/>
      <c r="F13" s="13">
        <f>C5*2</f>
        <v>2</v>
      </c>
      <c r="G13" s="354"/>
      <c r="H13" s="342"/>
      <c r="I13" s="342"/>
      <c r="J13" s="342"/>
    </row>
    <row r="14" spans="1:12" ht="15" customHeight="1" x14ac:dyDescent="0.3">
      <c r="A14" s="354"/>
      <c r="B14" s="342"/>
      <c r="C14" s="342"/>
      <c r="D14" s="346">
        <f>D13</f>
        <v>96.75</v>
      </c>
      <c r="E14" s="330"/>
      <c r="F14" s="13">
        <f>C5*2</f>
        <v>2</v>
      </c>
      <c r="G14" s="342"/>
      <c r="H14" s="78"/>
      <c r="I14" s="61"/>
      <c r="J14" s="147"/>
    </row>
    <row r="15" spans="1:12" ht="22.5" customHeight="1" x14ac:dyDescent="0.3">
      <c r="A15" s="354"/>
      <c r="B15" s="61" t="s">
        <v>176</v>
      </c>
      <c r="C15" s="78" t="s">
        <v>177</v>
      </c>
      <c r="D15" s="346">
        <f t="shared" ref="D15:D16" si="0">$D$14</f>
        <v>96.75</v>
      </c>
      <c r="E15" s="330"/>
      <c r="F15" s="13">
        <f>C5*2</f>
        <v>2</v>
      </c>
      <c r="G15" s="61"/>
      <c r="H15" s="15"/>
      <c r="I15" s="61"/>
      <c r="J15" s="147"/>
    </row>
    <row r="16" spans="1:12" ht="28.5" customHeight="1" x14ac:dyDescent="0.3">
      <c r="A16" s="354"/>
      <c r="B16" s="61" t="s">
        <v>178</v>
      </c>
      <c r="C16" s="15" t="s">
        <v>179</v>
      </c>
      <c r="D16" s="346">
        <f t="shared" si="0"/>
        <v>96.75</v>
      </c>
      <c r="E16" s="330"/>
      <c r="F16" s="13">
        <f>C5*2</f>
        <v>2</v>
      </c>
      <c r="G16" s="61">
        <v>90</v>
      </c>
      <c r="H16" s="148"/>
      <c r="I16" s="61"/>
      <c r="J16" s="149"/>
    </row>
    <row r="17" spans="1:11" ht="14.4" x14ac:dyDescent="0.3">
      <c r="A17" s="354"/>
      <c r="B17" s="363" t="s">
        <v>180</v>
      </c>
      <c r="C17" s="612"/>
      <c r="D17" s="346">
        <v>3.4</v>
      </c>
      <c r="E17" s="330"/>
      <c r="F17" s="13">
        <f>C5*8</f>
        <v>8</v>
      </c>
      <c r="G17" s="363">
        <v>90</v>
      </c>
      <c r="H17" s="133"/>
      <c r="I17" s="61"/>
      <c r="J17" s="150"/>
    </row>
    <row r="18" spans="1:11" ht="14.4" x14ac:dyDescent="0.3">
      <c r="A18" s="354"/>
      <c r="B18" s="354"/>
      <c r="C18" s="354"/>
      <c r="D18" s="346">
        <v>2.8</v>
      </c>
      <c r="E18" s="330"/>
      <c r="F18" s="13">
        <f>C5*8</f>
        <v>8</v>
      </c>
      <c r="G18" s="354"/>
      <c r="H18" s="34"/>
      <c r="I18" s="2"/>
      <c r="J18" s="2"/>
    </row>
    <row r="19" spans="1:11" ht="14.4" x14ac:dyDescent="0.3">
      <c r="A19" s="342"/>
      <c r="B19" s="342"/>
      <c r="C19" s="342"/>
      <c r="D19" s="346">
        <v>2.2000000000000002</v>
      </c>
      <c r="E19" s="330"/>
      <c r="F19" s="13">
        <f>C5*8</f>
        <v>8</v>
      </c>
      <c r="G19" s="342"/>
      <c r="H19" s="34"/>
      <c r="I19" s="2"/>
      <c r="J19" s="2"/>
    </row>
    <row r="20" spans="1:11" ht="14.4" x14ac:dyDescent="0.3">
      <c r="A20" s="349" t="s">
        <v>181</v>
      </c>
      <c r="B20" s="61" t="s">
        <v>182</v>
      </c>
      <c r="C20" s="612"/>
      <c r="D20" s="346">
        <f>D13</f>
        <v>96.75</v>
      </c>
      <c r="E20" s="330"/>
      <c r="F20" s="13">
        <f>C5*8</f>
        <v>8</v>
      </c>
      <c r="G20" s="363">
        <v>90</v>
      </c>
      <c r="H20" s="623"/>
      <c r="I20" s="2"/>
      <c r="J20" s="136"/>
    </row>
    <row r="21" spans="1:11" ht="15.75" customHeight="1" x14ac:dyDescent="0.25">
      <c r="A21" s="354"/>
      <c r="B21" s="61" t="s">
        <v>202</v>
      </c>
      <c r="C21" s="354"/>
      <c r="D21" s="346">
        <f>(D10-10)/2</f>
        <v>95</v>
      </c>
      <c r="E21" s="330"/>
      <c r="F21" s="13">
        <f>C5*4</f>
        <v>4</v>
      </c>
      <c r="G21" s="354"/>
      <c r="H21" s="624"/>
      <c r="I21" s="136"/>
      <c r="J21" s="136"/>
    </row>
    <row r="22" spans="1:11" ht="15.75" customHeight="1" x14ac:dyDescent="0.3">
      <c r="A22" s="354"/>
      <c r="B22" s="61" t="s">
        <v>202</v>
      </c>
      <c r="C22" s="354"/>
      <c r="D22" s="346">
        <f>(D10-14.2)/2</f>
        <v>92.9</v>
      </c>
      <c r="E22" s="330"/>
      <c r="F22" s="13">
        <f>C5*4</f>
        <v>4</v>
      </c>
      <c r="G22" s="354"/>
      <c r="H22" s="624"/>
      <c r="I22" s="2"/>
      <c r="J22" s="2"/>
    </row>
    <row r="23" spans="1:11" ht="15.75" customHeight="1" x14ac:dyDescent="0.3">
      <c r="A23" s="614" t="s">
        <v>184</v>
      </c>
      <c r="B23" s="18"/>
      <c r="C23" s="18" t="s">
        <v>3</v>
      </c>
      <c r="D23" s="613" t="s">
        <v>6</v>
      </c>
      <c r="E23" s="330"/>
      <c r="F23" s="18"/>
      <c r="G23" s="18"/>
      <c r="H23" s="34"/>
      <c r="I23" s="2"/>
      <c r="J23" s="2"/>
    </row>
    <row r="24" spans="1:11" ht="15.75" customHeight="1" x14ac:dyDescent="0.3">
      <c r="A24" s="354"/>
      <c r="B24" s="485"/>
      <c r="C24" s="137">
        <f>(D12-25.8)/2</f>
        <v>85.1</v>
      </c>
      <c r="D24" s="357">
        <f>D13-0.8</f>
        <v>95.95</v>
      </c>
      <c r="E24" s="330"/>
      <c r="F24" s="18">
        <f>C5*2</f>
        <v>2</v>
      </c>
      <c r="G24" s="625"/>
      <c r="H24" s="34"/>
      <c r="I24" s="2"/>
      <c r="J24" s="2"/>
    </row>
    <row r="25" spans="1:11" ht="15.75" customHeight="1" x14ac:dyDescent="0.3">
      <c r="A25" s="342"/>
      <c r="B25" s="342"/>
      <c r="C25" s="138">
        <f>(D12-13.4)/2</f>
        <v>91.3</v>
      </c>
      <c r="D25" s="357">
        <f>D24</f>
        <v>95.95</v>
      </c>
      <c r="E25" s="330"/>
      <c r="F25" s="18">
        <f>C5*2</f>
        <v>2</v>
      </c>
      <c r="G25" s="342"/>
      <c r="H25" s="34"/>
      <c r="I25" s="2"/>
      <c r="J25" s="2"/>
      <c r="K25" s="21"/>
    </row>
    <row r="26" spans="1:11" ht="15.75" customHeight="1" x14ac:dyDescent="0.3">
      <c r="A26" s="139" t="s">
        <v>185</v>
      </c>
      <c r="B26" s="13" t="s">
        <v>186</v>
      </c>
      <c r="C26" s="61"/>
      <c r="D26" s="346"/>
      <c r="E26" s="330"/>
      <c r="F26" s="53">
        <f>(C25*16)+(D25*16)*C5</f>
        <v>2996</v>
      </c>
      <c r="G26" s="61" t="s">
        <v>43</v>
      </c>
      <c r="H26" s="34"/>
      <c r="I26" s="2"/>
      <c r="J26" s="2"/>
    </row>
    <row r="27" spans="1:11" ht="15.75" customHeight="1" x14ac:dyDescent="0.3">
      <c r="A27" s="374" t="s">
        <v>48</v>
      </c>
      <c r="B27" s="13" t="s">
        <v>187</v>
      </c>
      <c r="C27" s="13" t="s">
        <v>188</v>
      </c>
      <c r="D27" s="333"/>
      <c r="E27" s="330"/>
      <c r="F27" s="13">
        <f>C5*40</f>
        <v>40</v>
      </c>
      <c r="G27" s="13"/>
      <c r="H27" s="34"/>
      <c r="I27" s="2"/>
      <c r="J27" s="2"/>
    </row>
    <row r="28" spans="1:11" ht="15.75" customHeight="1" x14ac:dyDescent="0.3">
      <c r="A28" s="342"/>
      <c r="B28" s="13" t="s">
        <v>187</v>
      </c>
      <c r="C28" s="13" t="s">
        <v>189</v>
      </c>
      <c r="D28" s="333"/>
      <c r="E28" s="330"/>
      <c r="F28" s="13">
        <f>C5*16</f>
        <v>16</v>
      </c>
      <c r="G28" s="13"/>
      <c r="H28" s="34"/>
      <c r="I28" s="2"/>
      <c r="J28" s="2"/>
    </row>
    <row r="29" spans="1:11" ht="15.75" customHeight="1" x14ac:dyDescent="0.3">
      <c r="A29" s="374" t="s">
        <v>190</v>
      </c>
      <c r="B29" s="13" t="s">
        <v>191</v>
      </c>
      <c r="C29" s="13" t="s">
        <v>192</v>
      </c>
      <c r="D29" s="333"/>
      <c r="E29" s="330"/>
      <c r="F29" s="13">
        <f>C5*8</f>
        <v>8</v>
      </c>
      <c r="G29" s="13"/>
      <c r="H29" s="34"/>
      <c r="I29" s="2"/>
      <c r="J29" s="2"/>
    </row>
    <row r="30" spans="1:11" ht="15.75" customHeight="1" x14ac:dyDescent="0.3">
      <c r="A30" s="342"/>
      <c r="B30" s="13" t="s">
        <v>193</v>
      </c>
      <c r="C30" s="13" t="s">
        <v>194</v>
      </c>
      <c r="D30" s="333"/>
      <c r="E30" s="330"/>
      <c r="F30" s="13">
        <f>C5*8</f>
        <v>8</v>
      </c>
      <c r="G30" s="13"/>
      <c r="H30" s="34"/>
      <c r="I30" s="2"/>
      <c r="J30" s="2"/>
    </row>
    <row r="31" spans="1:11" ht="15.75" customHeight="1" x14ac:dyDescent="0.3">
      <c r="A31" s="140" t="s">
        <v>195</v>
      </c>
      <c r="B31" s="13" t="s">
        <v>196</v>
      </c>
      <c r="C31" s="13"/>
      <c r="D31" s="333"/>
      <c r="E31" s="330"/>
      <c r="F31" s="13">
        <f>C5*8</f>
        <v>8</v>
      </c>
      <c r="G31" s="13"/>
      <c r="H31" s="34"/>
      <c r="I31" s="2"/>
      <c r="J31" s="2"/>
    </row>
    <row r="32" spans="1:11" ht="15.75" customHeight="1" x14ac:dyDescent="0.3">
      <c r="A32" s="140" t="s">
        <v>197</v>
      </c>
      <c r="B32" s="13" t="s">
        <v>198</v>
      </c>
      <c r="C32" s="13"/>
      <c r="D32" s="333"/>
      <c r="E32" s="330"/>
      <c r="F32" s="13">
        <f>C5*1</f>
        <v>1</v>
      </c>
      <c r="G32" s="13"/>
      <c r="H32" s="34"/>
      <c r="I32" s="2"/>
      <c r="J32" s="2"/>
    </row>
    <row r="33" spans="1:10" ht="15.75" customHeight="1" x14ac:dyDescent="0.3">
      <c r="A33" s="141" t="s">
        <v>56</v>
      </c>
      <c r="B33" s="611"/>
      <c r="C33" s="332"/>
      <c r="D33" s="332"/>
      <c r="E33" s="332"/>
      <c r="F33" s="332"/>
      <c r="G33" s="330"/>
      <c r="H33" s="34"/>
      <c r="I33" s="2"/>
      <c r="J33" s="2"/>
    </row>
    <row r="34" spans="1:10" ht="15.75" customHeight="1" x14ac:dyDescent="0.3">
      <c r="A34" s="141" t="s">
        <v>57</v>
      </c>
      <c r="B34" s="611"/>
      <c r="C34" s="332"/>
      <c r="D34" s="332"/>
      <c r="E34" s="332"/>
      <c r="F34" s="332"/>
      <c r="G34" s="330"/>
      <c r="H34" s="34"/>
      <c r="I34" s="2"/>
      <c r="J34" s="2"/>
    </row>
    <row r="35" spans="1:10" ht="15.75" customHeight="1" x14ac:dyDescent="0.3">
      <c r="A35" s="334" t="s">
        <v>58</v>
      </c>
      <c r="B35" s="335"/>
      <c r="C35" s="335"/>
      <c r="D35" s="335"/>
      <c r="E35" s="336"/>
      <c r="F35" s="331"/>
      <c r="G35" s="330"/>
      <c r="H35" s="34"/>
      <c r="I35" s="2"/>
      <c r="J35" s="2"/>
    </row>
    <row r="36" spans="1:10" ht="15.75" customHeight="1" x14ac:dyDescent="0.3">
      <c r="A36" s="337"/>
      <c r="B36" s="338"/>
      <c r="C36" s="338"/>
      <c r="D36" s="338"/>
      <c r="E36" s="339"/>
      <c r="F36" s="331" t="s">
        <v>59</v>
      </c>
      <c r="G36" s="330"/>
      <c r="H36" s="34"/>
      <c r="I36" s="2"/>
      <c r="J36" s="2"/>
    </row>
    <row r="37" spans="1:10" ht="15.75" customHeight="1" x14ac:dyDescent="0.3">
      <c r="A37" s="31"/>
      <c r="B37" s="627"/>
      <c r="C37" s="335"/>
      <c r="D37" s="335"/>
      <c r="E37" s="142"/>
      <c r="F37" s="142"/>
      <c r="G37" s="142"/>
      <c r="H37" s="34"/>
      <c r="I37" s="2"/>
      <c r="J37" s="2"/>
    </row>
    <row r="38" spans="1:10" ht="15.75" customHeight="1" x14ac:dyDescent="0.3">
      <c r="A38" s="31"/>
      <c r="B38" s="32"/>
      <c r="C38" s="2"/>
      <c r="D38" s="142"/>
      <c r="E38" s="142"/>
      <c r="F38" s="142"/>
      <c r="G38" s="142"/>
      <c r="H38" s="34"/>
      <c r="I38" s="2"/>
      <c r="J38" s="2"/>
    </row>
    <row r="39" spans="1:10" ht="15.75" customHeight="1" x14ac:dyDescent="0.3">
      <c r="A39" s="31"/>
      <c r="B39" s="32"/>
      <c r="C39" s="142"/>
      <c r="D39" s="142"/>
      <c r="E39" s="151"/>
      <c r="F39" s="142"/>
      <c r="G39" s="142"/>
      <c r="H39" s="34"/>
      <c r="I39" s="2"/>
      <c r="J39" s="2"/>
    </row>
    <row r="40" spans="1:10" ht="15.75" customHeight="1" x14ac:dyDescent="0.3">
      <c r="A40" s="31"/>
      <c r="B40" s="32"/>
      <c r="C40" s="142"/>
      <c r="D40" s="142"/>
      <c r="E40" s="152"/>
      <c r="F40" s="142"/>
      <c r="G40" s="142"/>
      <c r="H40" s="34"/>
      <c r="I40" s="2"/>
      <c r="J40" s="2"/>
    </row>
    <row r="41" spans="1:10" ht="15.75" customHeight="1" x14ac:dyDescent="0.3">
      <c r="A41" s="31"/>
      <c r="B41" s="32"/>
      <c r="C41" s="142"/>
      <c r="D41" s="142"/>
      <c r="E41" s="152"/>
      <c r="F41" s="142"/>
      <c r="G41" s="142"/>
      <c r="H41" s="34"/>
      <c r="I41" s="2"/>
      <c r="J41" s="2"/>
    </row>
    <row r="42" spans="1:10" ht="15.75" customHeight="1" x14ac:dyDescent="0.3">
      <c r="A42" s="31"/>
      <c r="B42" s="32"/>
      <c r="C42" s="142"/>
      <c r="D42" s="142"/>
      <c r="E42" s="152"/>
      <c r="F42" s="142"/>
      <c r="G42" s="142"/>
      <c r="H42" s="34"/>
      <c r="I42" s="2"/>
      <c r="J42" s="2"/>
    </row>
    <row r="43" spans="1:10" ht="15.75" customHeight="1" x14ac:dyDescent="0.3">
      <c r="A43" s="31"/>
      <c r="B43" s="32"/>
      <c r="C43" s="142"/>
      <c r="D43" s="142"/>
      <c r="E43" s="626">
        <f>C3</f>
        <v>200</v>
      </c>
      <c r="F43" s="327"/>
      <c r="G43" s="142"/>
      <c r="H43" s="34"/>
      <c r="I43" s="2"/>
      <c r="J43" s="2"/>
    </row>
    <row r="44" spans="1:10" ht="15.75" customHeight="1" x14ac:dyDescent="0.3">
      <c r="A44" s="31"/>
      <c r="B44" s="32"/>
      <c r="C44" s="142"/>
      <c r="D44" s="142"/>
      <c r="E44" s="152"/>
      <c r="F44" s="142"/>
      <c r="G44" s="142"/>
      <c r="H44" s="34"/>
      <c r="I44" s="2"/>
      <c r="J44" s="2"/>
    </row>
    <row r="45" spans="1:10" ht="15.75" customHeight="1" x14ac:dyDescent="0.3">
      <c r="A45" s="31"/>
      <c r="B45" s="32"/>
      <c r="C45" s="142"/>
      <c r="D45" s="142"/>
      <c r="E45" s="152"/>
      <c r="F45" s="142"/>
      <c r="G45" s="142"/>
      <c r="H45" s="34"/>
      <c r="I45" s="2"/>
      <c r="J45" s="2"/>
    </row>
    <row r="46" spans="1:10" ht="15.75" customHeight="1" x14ac:dyDescent="0.3">
      <c r="A46" s="31"/>
      <c r="B46" s="32"/>
      <c r="C46" s="142"/>
      <c r="D46" s="142"/>
      <c r="E46" s="142"/>
      <c r="F46" s="142"/>
      <c r="G46" s="142"/>
      <c r="H46" s="34"/>
      <c r="I46" s="2"/>
      <c r="J46" s="2"/>
    </row>
    <row r="47" spans="1:10" ht="15.75" customHeight="1" x14ac:dyDescent="0.3">
      <c r="A47" s="31"/>
      <c r="B47" s="484"/>
      <c r="C47" s="327"/>
      <c r="D47" s="327"/>
      <c r="E47" s="142"/>
      <c r="F47" s="142"/>
      <c r="G47" s="142"/>
      <c r="H47" s="34"/>
      <c r="I47" s="2"/>
      <c r="J47" s="2"/>
    </row>
    <row r="48" spans="1:10" ht="15.75" customHeight="1" x14ac:dyDescent="0.3">
      <c r="A48" s="31"/>
      <c r="B48" s="32"/>
      <c r="C48" s="142"/>
      <c r="D48" s="142"/>
      <c r="E48" s="142"/>
      <c r="F48" s="142"/>
      <c r="G48" s="142"/>
      <c r="H48" s="34"/>
      <c r="I48" s="2"/>
      <c r="J48" s="2"/>
    </row>
    <row r="49" spans="2:13" ht="15.75" customHeight="1" x14ac:dyDescent="0.3"/>
    <row r="50" spans="2:13" ht="15.75" customHeight="1" x14ac:dyDescent="0.3"/>
    <row r="51" spans="2:13" ht="15.75" customHeight="1" x14ac:dyDescent="0.4">
      <c r="B51" s="328">
        <f>C4</f>
        <v>200</v>
      </c>
      <c r="C51" s="327"/>
      <c r="D51" s="327"/>
    </row>
    <row r="52" spans="2:13" ht="15.75" customHeight="1" x14ac:dyDescent="0.3"/>
    <row r="53" spans="2:13" ht="15.75" customHeight="1" x14ac:dyDescent="0.3"/>
    <row r="54" spans="2:13" ht="15.75" customHeight="1" x14ac:dyDescent="0.3"/>
    <row r="55" spans="2:13" ht="15.75" customHeight="1" x14ac:dyDescent="0.3"/>
    <row r="56" spans="2:13" ht="15.75" customHeight="1" x14ac:dyDescent="0.3"/>
    <row r="57" spans="2:13" ht="15.75" customHeight="1" x14ac:dyDescent="0.3"/>
    <row r="58" spans="2:13" ht="15.75" customHeight="1" x14ac:dyDescent="0.3"/>
    <row r="59" spans="2:13" ht="15.75" customHeight="1" x14ac:dyDescent="0.3"/>
    <row r="60" spans="2:13" ht="15.75" customHeight="1" x14ac:dyDescent="0.3"/>
    <row r="61" spans="2:13" ht="15.75" customHeight="1" x14ac:dyDescent="0.3"/>
    <row r="62" spans="2:13" ht="15.75" customHeight="1" x14ac:dyDescent="0.3"/>
    <row r="63" spans="2:13" ht="15.75" customHeight="1" x14ac:dyDescent="0.3"/>
    <row r="64" spans="2:13" ht="15.75" customHeight="1" x14ac:dyDescent="0.3">
      <c r="M64" s="153"/>
    </row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75">
    <mergeCell ref="A27:A28"/>
    <mergeCell ref="A29:A30"/>
    <mergeCell ref="B47:D47"/>
    <mergeCell ref="E43:F43"/>
    <mergeCell ref="B51:D51"/>
    <mergeCell ref="D32:E32"/>
    <mergeCell ref="F35:G35"/>
    <mergeCell ref="F36:G36"/>
    <mergeCell ref="B33:G33"/>
    <mergeCell ref="B34:G34"/>
    <mergeCell ref="A35:E36"/>
    <mergeCell ref="B37:D37"/>
    <mergeCell ref="D29:E29"/>
    <mergeCell ref="D28:E28"/>
    <mergeCell ref="D31:E31"/>
    <mergeCell ref="D30:E30"/>
    <mergeCell ref="H20:H22"/>
    <mergeCell ref="G20:G22"/>
    <mergeCell ref="G17:G19"/>
    <mergeCell ref="D17:E17"/>
    <mergeCell ref="D24:E24"/>
    <mergeCell ref="D19:E19"/>
    <mergeCell ref="D18:E18"/>
    <mergeCell ref="D20:E20"/>
    <mergeCell ref="G24:G25"/>
    <mergeCell ref="D21:E21"/>
    <mergeCell ref="A3:B3"/>
    <mergeCell ref="D3:G3"/>
    <mergeCell ref="B12:B14"/>
    <mergeCell ref="A12:A19"/>
    <mergeCell ref="B17:B19"/>
    <mergeCell ref="C17:C19"/>
    <mergeCell ref="A7:B7"/>
    <mergeCell ref="C7:G7"/>
    <mergeCell ref="G10:G14"/>
    <mergeCell ref="G8:G9"/>
    <mergeCell ref="F8:F9"/>
    <mergeCell ref="A20:A22"/>
    <mergeCell ref="A23:A25"/>
    <mergeCell ref="B24:B25"/>
    <mergeCell ref="C20:C22"/>
    <mergeCell ref="D8:E9"/>
    <mergeCell ref="D11:E11"/>
    <mergeCell ref="D22:E22"/>
    <mergeCell ref="D23:E23"/>
    <mergeCell ref="D25:E25"/>
    <mergeCell ref="A8:B9"/>
    <mergeCell ref="B10:B11"/>
    <mergeCell ref="A10:A11"/>
    <mergeCell ref="C12:C14"/>
    <mergeCell ref="D14:E14"/>
    <mergeCell ref="D13:E13"/>
    <mergeCell ref="D26:E26"/>
    <mergeCell ref="D27:E27"/>
    <mergeCell ref="A2:G2"/>
    <mergeCell ref="B1:C1"/>
    <mergeCell ref="A4:B4"/>
    <mergeCell ref="D10:E10"/>
    <mergeCell ref="C6:G6"/>
    <mergeCell ref="A6:B6"/>
    <mergeCell ref="A5:B5"/>
    <mergeCell ref="D15:E15"/>
    <mergeCell ref="D16:E16"/>
    <mergeCell ref="D12:E12"/>
    <mergeCell ref="C10:C11"/>
    <mergeCell ref="D4:G4"/>
    <mergeCell ref="D5:G5"/>
    <mergeCell ref="C8:C9"/>
    <mergeCell ref="H7:J7"/>
    <mergeCell ref="J9:J10"/>
    <mergeCell ref="I9:I10"/>
    <mergeCell ref="H11:H13"/>
    <mergeCell ref="H9:H10"/>
    <mergeCell ref="I11:I13"/>
    <mergeCell ref="J11:J13"/>
  </mergeCells>
  <pageMargins left="0.7" right="0.7" top="0.75" bottom="0.75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28.6640625" customWidth="1"/>
    <col min="2" max="2" width="19.6640625" customWidth="1"/>
    <col min="3" max="3" width="11.6640625" customWidth="1"/>
    <col min="4" max="4" width="7.33203125" customWidth="1"/>
    <col min="5" max="5" width="7.5546875" customWidth="1"/>
    <col min="6" max="6" width="6.33203125" customWidth="1"/>
    <col min="7" max="7" width="12.44140625" customWidth="1"/>
    <col min="8" max="8" width="8.5546875" customWidth="1"/>
  </cols>
  <sheetData>
    <row r="1" spans="1:8" ht="23.4" x14ac:dyDescent="0.45">
      <c r="A1" s="124" t="s">
        <v>169</v>
      </c>
      <c r="B1" s="622"/>
      <c r="C1" s="332"/>
      <c r="D1" s="145"/>
      <c r="E1" s="145"/>
      <c r="F1" s="145"/>
      <c r="G1" s="145"/>
    </row>
    <row r="2" spans="1:8" ht="21" x14ac:dyDescent="0.4">
      <c r="A2" s="343" t="s">
        <v>203</v>
      </c>
      <c r="B2" s="332"/>
      <c r="C2" s="332"/>
      <c r="D2" s="332"/>
      <c r="E2" s="332"/>
      <c r="F2" s="332"/>
      <c r="G2" s="330"/>
    </row>
    <row r="3" spans="1:8" ht="22.8" x14ac:dyDescent="0.4">
      <c r="A3" s="73" t="s">
        <v>3</v>
      </c>
      <c r="B3" s="154"/>
      <c r="C3" s="155">
        <v>200</v>
      </c>
      <c r="D3" s="489" t="s">
        <v>4</v>
      </c>
      <c r="E3" s="332"/>
      <c r="F3" s="332"/>
      <c r="G3" s="330"/>
      <c r="H3" s="127"/>
    </row>
    <row r="4" spans="1:8" ht="21" x14ac:dyDescent="0.4">
      <c r="A4" s="11" t="s">
        <v>6</v>
      </c>
      <c r="B4" s="154" t="s">
        <v>204</v>
      </c>
      <c r="C4" s="155">
        <v>90</v>
      </c>
      <c r="D4" s="489" t="s">
        <v>4</v>
      </c>
      <c r="E4" s="332"/>
      <c r="F4" s="332"/>
      <c r="G4" s="330"/>
    </row>
    <row r="5" spans="1:8" ht="21" x14ac:dyDescent="0.4">
      <c r="A5" s="345" t="s">
        <v>72</v>
      </c>
      <c r="B5" s="330"/>
      <c r="C5" s="489"/>
      <c r="D5" s="332"/>
      <c r="E5" s="332"/>
      <c r="F5" s="332"/>
      <c r="G5" s="330"/>
    </row>
    <row r="6" spans="1:8" ht="21" x14ac:dyDescent="0.4">
      <c r="A6" s="345" t="s">
        <v>9</v>
      </c>
      <c r="B6" s="330"/>
      <c r="C6" s="345"/>
      <c r="D6" s="332"/>
      <c r="E6" s="332"/>
      <c r="F6" s="332"/>
      <c r="G6" s="330"/>
    </row>
    <row r="7" spans="1:8" ht="15" customHeight="1" x14ac:dyDescent="0.3">
      <c r="A7" s="350" t="s">
        <v>10</v>
      </c>
      <c r="B7" s="336"/>
      <c r="C7" s="353" t="s">
        <v>11</v>
      </c>
      <c r="D7" s="616" t="s">
        <v>171</v>
      </c>
      <c r="E7" s="336"/>
      <c r="F7" s="363" t="s">
        <v>13</v>
      </c>
      <c r="G7" s="617" t="s">
        <v>14</v>
      </c>
    </row>
    <row r="8" spans="1:8" ht="14.4" x14ac:dyDescent="0.3">
      <c r="A8" s="337"/>
      <c r="B8" s="339"/>
      <c r="C8" s="342"/>
      <c r="D8" s="337"/>
      <c r="E8" s="339"/>
      <c r="F8" s="342"/>
      <c r="G8" s="342"/>
    </row>
    <row r="9" spans="1:8" ht="14.4" x14ac:dyDescent="0.25">
      <c r="A9" s="349" t="s">
        <v>19</v>
      </c>
      <c r="B9" s="363" t="s">
        <v>201</v>
      </c>
      <c r="C9" s="363"/>
      <c r="D9" s="346">
        <f>C3</f>
        <v>200</v>
      </c>
      <c r="E9" s="330"/>
      <c r="F9" s="13">
        <v>2</v>
      </c>
      <c r="G9" s="363">
        <v>90</v>
      </c>
    </row>
    <row r="10" spans="1:8" ht="14.4" x14ac:dyDescent="0.25">
      <c r="A10" s="342"/>
      <c r="B10" s="342"/>
      <c r="C10" s="354"/>
      <c r="D10" s="346">
        <f>C4-5</f>
        <v>85</v>
      </c>
      <c r="E10" s="330"/>
      <c r="F10" s="13">
        <v>1</v>
      </c>
      <c r="G10" s="354"/>
    </row>
    <row r="11" spans="1:8" ht="15" customHeight="1" x14ac:dyDescent="0.25">
      <c r="A11" s="349" t="s">
        <v>205</v>
      </c>
      <c r="B11" s="156" t="s">
        <v>206</v>
      </c>
      <c r="C11" s="157" t="s">
        <v>179</v>
      </c>
      <c r="D11" s="346">
        <f>C3-4.1</f>
        <v>195.9</v>
      </c>
      <c r="E11" s="330"/>
      <c r="F11" s="13">
        <v>2</v>
      </c>
      <c r="G11" s="354"/>
    </row>
    <row r="12" spans="1:8" ht="14.4" x14ac:dyDescent="0.3">
      <c r="A12" s="354"/>
      <c r="B12" s="156" t="s">
        <v>206</v>
      </c>
      <c r="C12" s="21" t="s">
        <v>179</v>
      </c>
      <c r="D12" s="346">
        <f>C4-23.8</f>
        <v>66.2</v>
      </c>
      <c r="E12" s="330"/>
      <c r="F12" s="13">
        <v>3</v>
      </c>
      <c r="G12" s="354"/>
    </row>
    <row r="13" spans="1:8" ht="14.4" x14ac:dyDescent="0.3">
      <c r="A13" s="354"/>
      <c r="B13" s="61" t="s">
        <v>207</v>
      </c>
      <c r="C13" s="21" t="s">
        <v>177</v>
      </c>
      <c r="D13" s="346">
        <f>C4-23.8</f>
        <v>66.2</v>
      </c>
      <c r="E13" s="330"/>
      <c r="F13" s="13">
        <v>1</v>
      </c>
      <c r="G13" s="342"/>
    </row>
    <row r="14" spans="1:8" ht="14.4" x14ac:dyDescent="0.25">
      <c r="A14" s="354"/>
      <c r="B14" s="363" t="s">
        <v>180</v>
      </c>
      <c r="C14" s="612"/>
      <c r="D14" s="346">
        <v>3.4</v>
      </c>
      <c r="E14" s="330"/>
      <c r="F14" s="13">
        <v>4</v>
      </c>
      <c r="G14" s="363">
        <v>90</v>
      </c>
    </row>
    <row r="15" spans="1:8" ht="14.4" x14ac:dyDescent="0.25">
      <c r="A15" s="354"/>
      <c r="B15" s="354"/>
      <c r="C15" s="354"/>
      <c r="D15" s="346">
        <v>2.8</v>
      </c>
      <c r="E15" s="330"/>
      <c r="F15" s="13">
        <v>4</v>
      </c>
      <c r="G15" s="354"/>
    </row>
    <row r="16" spans="1:8" ht="14.4" x14ac:dyDescent="0.25">
      <c r="A16" s="342"/>
      <c r="B16" s="342"/>
      <c r="C16" s="342"/>
      <c r="D16" s="346">
        <v>2.2000000000000002</v>
      </c>
      <c r="E16" s="330"/>
      <c r="F16" s="13">
        <v>4</v>
      </c>
      <c r="G16" s="342"/>
    </row>
    <row r="17" spans="1:7" ht="14.4" x14ac:dyDescent="0.25">
      <c r="A17" s="349" t="s">
        <v>181</v>
      </c>
      <c r="B17" s="61" t="s">
        <v>182</v>
      </c>
      <c r="C17" s="612"/>
      <c r="D17" s="346">
        <f>C4-23.9</f>
        <v>66.099999999999994</v>
      </c>
      <c r="E17" s="330"/>
      <c r="F17" s="13">
        <v>4</v>
      </c>
      <c r="G17" s="61">
        <v>90</v>
      </c>
    </row>
    <row r="18" spans="1:7" ht="14.4" x14ac:dyDescent="0.25">
      <c r="A18" s="354"/>
      <c r="B18" s="61" t="s">
        <v>202</v>
      </c>
      <c r="C18" s="354"/>
      <c r="D18" s="346">
        <f>(D9-15.8)/2</f>
        <v>92.1</v>
      </c>
      <c r="E18" s="330"/>
      <c r="F18" s="13">
        <v>2</v>
      </c>
      <c r="G18" s="61">
        <v>45</v>
      </c>
    </row>
    <row r="19" spans="1:7" ht="14.4" x14ac:dyDescent="0.25">
      <c r="A19" s="354"/>
      <c r="B19" s="61" t="s">
        <v>208</v>
      </c>
      <c r="C19" s="354"/>
      <c r="D19" s="346">
        <f>(D9-380)/2</f>
        <v>-90</v>
      </c>
      <c r="E19" s="330"/>
      <c r="F19" s="13">
        <v>2</v>
      </c>
      <c r="G19" s="61">
        <v>45</v>
      </c>
    </row>
    <row r="20" spans="1:7" ht="14.4" x14ac:dyDescent="0.25">
      <c r="A20" s="630" t="s">
        <v>184</v>
      </c>
      <c r="B20" s="13"/>
      <c r="C20" s="13" t="s">
        <v>3</v>
      </c>
      <c r="D20" s="628" t="s">
        <v>209</v>
      </c>
      <c r="E20" s="330"/>
      <c r="F20" s="13"/>
      <c r="G20" s="13"/>
    </row>
    <row r="21" spans="1:7" ht="15.75" customHeight="1" x14ac:dyDescent="0.25">
      <c r="A21" s="354"/>
      <c r="B21" s="612"/>
      <c r="C21" s="158">
        <f>(D9-39.6)/2</f>
        <v>80.2</v>
      </c>
      <c r="D21" s="629">
        <f>D12-0.8</f>
        <v>65.400000000000006</v>
      </c>
      <c r="E21" s="330"/>
      <c r="F21" s="159">
        <v>1</v>
      </c>
      <c r="G21" s="363"/>
    </row>
    <row r="22" spans="1:7" ht="15.75" customHeight="1" x14ac:dyDescent="0.25">
      <c r="A22" s="342"/>
      <c r="B22" s="342"/>
      <c r="C22" s="160">
        <f>(C3-27.2)/2</f>
        <v>86.4</v>
      </c>
      <c r="D22" s="629">
        <f>D21</f>
        <v>65.400000000000006</v>
      </c>
      <c r="E22" s="330"/>
      <c r="F22" s="159">
        <v>1</v>
      </c>
      <c r="G22" s="342"/>
    </row>
    <row r="23" spans="1:7" ht="15.75" customHeight="1" x14ac:dyDescent="0.25">
      <c r="A23" s="139" t="s">
        <v>210</v>
      </c>
      <c r="B23" s="13"/>
      <c r="C23" s="61"/>
      <c r="D23" s="628"/>
      <c r="E23" s="330"/>
      <c r="F23" s="13"/>
      <c r="G23" s="61"/>
    </row>
    <row r="24" spans="1:7" ht="15.75" customHeight="1" x14ac:dyDescent="0.25">
      <c r="A24" s="139" t="s">
        <v>185</v>
      </c>
      <c r="B24" s="13" t="s">
        <v>186</v>
      </c>
      <c r="C24" s="61"/>
      <c r="D24" s="333"/>
      <c r="E24" s="330"/>
      <c r="F24" s="53">
        <f>(C22*8)+(D22*8)</f>
        <v>1214.4000000000001</v>
      </c>
      <c r="G24" s="61" t="s">
        <v>43</v>
      </c>
    </row>
    <row r="25" spans="1:7" ht="15.75" customHeight="1" x14ac:dyDescent="0.25">
      <c r="A25" s="374" t="s">
        <v>48</v>
      </c>
      <c r="B25" s="13" t="s">
        <v>187</v>
      </c>
      <c r="C25" s="13" t="s">
        <v>188</v>
      </c>
      <c r="D25" s="333"/>
      <c r="E25" s="330"/>
      <c r="F25" s="13">
        <v>40</v>
      </c>
      <c r="G25" s="13"/>
    </row>
    <row r="26" spans="1:7" ht="15.75" customHeight="1" x14ac:dyDescent="0.25">
      <c r="A26" s="342"/>
      <c r="B26" s="13" t="s">
        <v>187</v>
      </c>
      <c r="C26" s="13" t="s">
        <v>189</v>
      </c>
      <c r="D26" s="333"/>
      <c r="E26" s="330"/>
      <c r="F26" s="13">
        <v>8</v>
      </c>
      <c r="G26" s="13"/>
    </row>
    <row r="27" spans="1:7" ht="15.75" customHeight="1" x14ac:dyDescent="0.25">
      <c r="A27" s="374" t="s">
        <v>190</v>
      </c>
      <c r="B27" s="13" t="s">
        <v>191</v>
      </c>
      <c r="C27" s="13" t="s">
        <v>192</v>
      </c>
      <c r="D27" s="333"/>
      <c r="E27" s="330"/>
      <c r="F27" s="13">
        <v>8</v>
      </c>
      <c r="G27" s="13"/>
    </row>
    <row r="28" spans="1:7" ht="15.75" customHeight="1" x14ac:dyDescent="0.25">
      <c r="A28" s="342"/>
      <c r="B28" s="13" t="s">
        <v>193</v>
      </c>
      <c r="C28" s="13" t="s">
        <v>194</v>
      </c>
      <c r="D28" s="333"/>
      <c r="E28" s="330"/>
      <c r="F28" s="13">
        <v>8</v>
      </c>
      <c r="G28" s="13"/>
    </row>
    <row r="29" spans="1:7" ht="15.75" customHeight="1" x14ac:dyDescent="0.3">
      <c r="A29" s="140" t="s">
        <v>195</v>
      </c>
      <c r="B29" s="13" t="s">
        <v>196</v>
      </c>
      <c r="C29" s="13"/>
      <c r="D29" s="333"/>
      <c r="E29" s="330"/>
      <c r="F29" s="13">
        <v>4</v>
      </c>
      <c r="G29" s="13"/>
    </row>
    <row r="30" spans="1:7" ht="15.75" customHeight="1" x14ac:dyDescent="0.3">
      <c r="A30" s="140" t="s">
        <v>197</v>
      </c>
      <c r="B30" s="13" t="s">
        <v>198</v>
      </c>
      <c r="C30" s="13"/>
      <c r="D30" s="333"/>
      <c r="E30" s="330"/>
      <c r="F30" s="13">
        <v>1</v>
      </c>
      <c r="G30" s="13"/>
    </row>
    <row r="31" spans="1:7" ht="15.75" customHeight="1" x14ac:dyDescent="0.3">
      <c r="A31" s="141" t="s">
        <v>56</v>
      </c>
      <c r="B31" s="611"/>
      <c r="C31" s="332"/>
      <c r="D31" s="332"/>
      <c r="E31" s="332"/>
      <c r="F31" s="332"/>
      <c r="G31" s="330"/>
    </row>
    <row r="32" spans="1:7" ht="15.75" customHeight="1" x14ac:dyDescent="0.3">
      <c r="A32" s="141" t="s">
        <v>57</v>
      </c>
      <c r="B32" s="611"/>
      <c r="C32" s="332"/>
      <c r="D32" s="332"/>
      <c r="E32" s="332"/>
      <c r="F32" s="332"/>
      <c r="G32" s="330"/>
    </row>
    <row r="33" spans="1:7" ht="15.75" customHeight="1" x14ac:dyDescent="0.3">
      <c r="A33" s="334" t="s">
        <v>58</v>
      </c>
      <c r="B33" s="335"/>
      <c r="C33" s="335"/>
      <c r="D33" s="335"/>
      <c r="E33" s="336"/>
      <c r="F33" s="331"/>
      <c r="G33" s="330"/>
    </row>
    <row r="34" spans="1:7" ht="15.75" customHeight="1" x14ac:dyDescent="0.3">
      <c r="A34" s="337"/>
      <c r="B34" s="338"/>
      <c r="C34" s="338"/>
      <c r="D34" s="338"/>
      <c r="E34" s="339"/>
      <c r="F34" s="331" t="s">
        <v>59</v>
      </c>
      <c r="G34" s="330"/>
    </row>
    <row r="35" spans="1:7" ht="15.75" customHeight="1" x14ac:dyDescent="0.3">
      <c r="A35" s="31"/>
      <c r="B35" s="32"/>
      <c r="C35" s="484"/>
      <c r="D35" s="327"/>
      <c r="E35" s="142"/>
      <c r="F35" s="142"/>
      <c r="G35" s="142"/>
    </row>
    <row r="36" spans="1:7" ht="15.75" customHeight="1" x14ac:dyDescent="0.3">
      <c r="A36" s="31"/>
      <c r="B36" s="32"/>
      <c r="C36" s="2"/>
      <c r="D36" s="142"/>
      <c r="E36" s="142"/>
      <c r="F36" s="142"/>
      <c r="G36" s="142"/>
    </row>
    <row r="37" spans="1:7" ht="15.75" customHeight="1" x14ac:dyDescent="0.3">
      <c r="A37" s="31"/>
      <c r="B37" s="32"/>
      <c r="C37" s="142"/>
      <c r="D37" s="142"/>
      <c r="E37" s="609"/>
      <c r="F37" s="142"/>
      <c r="G37" s="142"/>
    </row>
    <row r="38" spans="1:7" ht="15.75" customHeight="1" x14ac:dyDescent="0.3">
      <c r="A38" s="31"/>
      <c r="B38" s="32"/>
      <c r="C38" s="142"/>
      <c r="D38" s="142"/>
      <c r="E38" s="327"/>
      <c r="F38" s="142"/>
      <c r="G38" s="142"/>
    </row>
    <row r="39" spans="1:7" ht="15.75" customHeight="1" x14ac:dyDescent="0.3">
      <c r="A39" s="31"/>
      <c r="B39" s="32"/>
      <c r="C39" s="142"/>
      <c r="D39" s="142"/>
      <c r="E39" s="327"/>
      <c r="F39" s="142"/>
      <c r="G39" s="142"/>
    </row>
    <row r="40" spans="1:7" ht="15.75" customHeight="1" x14ac:dyDescent="0.3">
      <c r="A40" s="31"/>
      <c r="B40" s="32"/>
      <c r="C40" s="142"/>
      <c r="D40" s="142"/>
      <c r="E40" s="327"/>
      <c r="F40" s="142"/>
      <c r="G40" s="142"/>
    </row>
    <row r="41" spans="1:7" ht="15.75" customHeight="1" x14ac:dyDescent="0.35">
      <c r="A41" s="31"/>
      <c r="B41" s="32"/>
      <c r="C41" s="161">
        <f>C3</f>
        <v>200</v>
      </c>
      <c r="D41" s="142"/>
      <c r="E41" s="327"/>
      <c r="F41" s="142"/>
      <c r="G41" s="142"/>
    </row>
    <row r="42" spans="1:7" ht="15.75" customHeight="1" x14ac:dyDescent="0.3">
      <c r="A42" s="31"/>
      <c r="B42" s="32"/>
      <c r="C42" s="142"/>
      <c r="D42" s="142"/>
      <c r="E42" s="327"/>
      <c r="F42" s="142"/>
      <c r="G42" s="142"/>
    </row>
    <row r="43" spans="1:7" ht="15.75" customHeight="1" x14ac:dyDescent="0.3">
      <c r="A43" s="31"/>
      <c r="B43" s="32"/>
      <c r="C43" s="142"/>
      <c r="D43" s="142"/>
      <c r="E43" s="327"/>
      <c r="F43" s="142"/>
      <c r="G43" s="142"/>
    </row>
    <row r="44" spans="1:7" ht="15.75" customHeight="1" x14ac:dyDescent="0.3">
      <c r="A44" s="31"/>
      <c r="B44" s="32"/>
      <c r="C44" s="142"/>
      <c r="D44" s="142"/>
      <c r="E44" s="142"/>
      <c r="F44" s="142"/>
      <c r="G44" s="142"/>
    </row>
    <row r="45" spans="1:7" ht="15.75" customHeight="1" x14ac:dyDescent="0.3">
      <c r="A45" s="31"/>
      <c r="B45" s="32"/>
      <c r="C45" s="484"/>
      <c r="D45" s="327"/>
      <c r="E45" s="142"/>
      <c r="F45" s="142"/>
      <c r="G45" s="142"/>
    </row>
    <row r="46" spans="1:7" ht="15.75" customHeight="1" x14ac:dyDescent="0.3">
      <c r="A46" s="31"/>
      <c r="B46" s="32"/>
      <c r="C46" s="142"/>
      <c r="D46" s="142"/>
      <c r="E46" s="142"/>
      <c r="F46" s="142"/>
      <c r="G46" s="142"/>
    </row>
    <row r="47" spans="1:7" ht="15.75" customHeight="1" x14ac:dyDescent="0.3">
      <c r="A47" s="31"/>
      <c r="B47" s="32"/>
      <c r="C47" s="143"/>
      <c r="D47" s="142"/>
      <c r="E47" s="142"/>
      <c r="F47" s="142"/>
      <c r="G47" s="142"/>
    </row>
    <row r="48" spans="1:7" ht="15.75" customHeight="1" x14ac:dyDescent="0.3">
      <c r="A48" s="31"/>
      <c r="B48" s="32"/>
      <c r="C48" s="142"/>
      <c r="D48" s="142"/>
      <c r="E48" s="142"/>
      <c r="F48" s="142"/>
      <c r="G48" s="142"/>
    </row>
    <row r="49" spans="2:2" ht="15.75" customHeight="1" x14ac:dyDescent="0.4">
      <c r="B49" s="35">
        <f>C4</f>
        <v>90</v>
      </c>
    </row>
    <row r="50" spans="2:2" ht="15.75" customHeight="1" x14ac:dyDescent="0.3"/>
    <row r="51" spans="2:2" ht="15.75" customHeight="1" x14ac:dyDescent="0.3"/>
    <row r="52" spans="2:2" ht="15.75" customHeight="1" x14ac:dyDescent="0.3"/>
    <row r="53" spans="2:2" ht="15.75" customHeight="1" x14ac:dyDescent="0.3"/>
    <row r="54" spans="2:2" ht="15.75" customHeight="1" x14ac:dyDescent="0.3"/>
    <row r="55" spans="2:2" ht="15.75" customHeight="1" x14ac:dyDescent="0.3"/>
    <row r="56" spans="2:2" ht="15.75" customHeight="1" x14ac:dyDescent="0.3"/>
    <row r="57" spans="2:2" ht="15.75" customHeight="1" x14ac:dyDescent="0.3"/>
    <row r="58" spans="2:2" ht="15.75" customHeight="1" x14ac:dyDescent="0.3"/>
    <row r="59" spans="2:2" ht="15.75" customHeight="1" x14ac:dyDescent="0.3"/>
    <row r="60" spans="2:2" ht="15.75" customHeight="1" x14ac:dyDescent="0.3"/>
    <row r="61" spans="2:2" ht="15.75" customHeight="1" x14ac:dyDescent="0.3"/>
    <row r="62" spans="2:2" ht="15.75" customHeight="1" x14ac:dyDescent="0.3"/>
    <row r="63" spans="2:2" ht="15.75" customHeight="1" x14ac:dyDescent="0.3"/>
    <row r="64" spans="2:2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58">
    <mergeCell ref="A2:G2"/>
    <mergeCell ref="B1:C1"/>
    <mergeCell ref="D25:E25"/>
    <mergeCell ref="E37:E43"/>
    <mergeCell ref="C45:D45"/>
    <mergeCell ref="C35:D35"/>
    <mergeCell ref="D24:E24"/>
    <mergeCell ref="D15:E15"/>
    <mergeCell ref="D18:E18"/>
    <mergeCell ref="D16:E16"/>
    <mergeCell ref="D17:E17"/>
    <mergeCell ref="D19:E19"/>
    <mergeCell ref="D14:E14"/>
    <mergeCell ref="A5:B5"/>
    <mergeCell ref="A6:B6"/>
    <mergeCell ref="F34:G34"/>
    <mergeCell ref="F33:G33"/>
    <mergeCell ref="B32:G32"/>
    <mergeCell ref="B31:G31"/>
    <mergeCell ref="D21:E21"/>
    <mergeCell ref="G21:G22"/>
    <mergeCell ref="D22:E22"/>
    <mergeCell ref="D29:E29"/>
    <mergeCell ref="D27:E27"/>
    <mergeCell ref="D28:E28"/>
    <mergeCell ref="D23:E23"/>
    <mergeCell ref="A33:E34"/>
    <mergeCell ref="A20:A22"/>
    <mergeCell ref="D26:E26"/>
    <mergeCell ref="D30:E30"/>
    <mergeCell ref="A27:A28"/>
    <mergeCell ref="A25:A26"/>
    <mergeCell ref="B21:B22"/>
    <mergeCell ref="C17:C19"/>
    <mergeCell ref="C14:C16"/>
    <mergeCell ref="C7:C8"/>
    <mergeCell ref="A7:B8"/>
    <mergeCell ref="B9:B10"/>
    <mergeCell ref="A9:A10"/>
    <mergeCell ref="A11:A16"/>
    <mergeCell ref="B14:B16"/>
    <mergeCell ref="A17:A19"/>
    <mergeCell ref="D20:E20"/>
    <mergeCell ref="D3:G3"/>
    <mergeCell ref="D4:G4"/>
    <mergeCell ref="G9:G13"/>
    <mergeCell ref="G7:G8"/>
    <mergeCell ref="C5:G5"/>
    <mergeCell ref="C6:G6"/>
    <mergeCell ref="D9:E9"/>
    <mergeCell ref="C9:C10"/>
    <mergeCell ref="D10:E10"/>
    <mergeCell ref="D11:E11"/>
    <mergeCell ref="D12:E12"/>
    <mergeCell ref="D13:E13"/>
    <mergeCell ref="G14:G16"/>
    <mergeCell ref="D7:E8"/>
    <mergeCell ref="F7:F8"/>
  </mergeCells>
  <pageMargins left="0.7" right="0.7" top="0.75" bottom="0.75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Views>
    <sheetView tabSelected="1" workbookViewId="0"/>
  </sheetViews>
  <sheetFormatPr baseColWidth="10" defaultColWidth="14.44140625" defaultRowHeight="15" customHeight="1" x14ac:dyDescent="0.3"/>
  <cols>
    <col min="1" max="1" width="28.5546875" customWidth="1"/>
    <col min="2" max="2" width="17.6640625" customWidth="1"/>
    <col min="3" max="3" width="13.5546875" customWidth="1"/>
    <col min="4" max="4" width="7.33203125" customWidth="1"/>
    <col min="5" max="5" width="6.6640625" customWidth="1"/>
    <col min="6" max="6" width="8" customWidth="1"/>
    <col min="7" max="7" width="11.44140625" customWidth="1"/>
  </cols>
  <sheetData>
    <row r="1" spans="1:7" ht="23.4" x14ac:dyDescent="0.45">
      <c r="A1" s="124" t="s">
        <v>169</v>
      </c>
      <c r="B1" s="622"/>
      <c r="C1" s="332"/>
      <c r="D1" s="145"/>
      <c r="E1" s="145"/>
      <c r="F1" s="145"/>
      <c r="G1" s="145"/>
    </row>
    <row r="2" spans="1:7" ht="21" x14ac:dyDescent="0.4">
      <c r="A2" s="343" t="s">
        <v>203</v>
      </c>
      <c r="B2" s="332"/>
      <c r="C2" s="332"/>
      <c r="D2" s="332"/>
      <c r="E2" s="332"/>
      <c r="F2" s="332"/>
      <c r="G2" s="330"/>
    </row>
    <row r="3" spans="1:7" ht="21" x14ac:dyDescent="0.4">
      <c r="A3" s="345" t="s">
        <v>3</v>
      </c>
      <c r="B3" s="330"/>
      <c r="C3" s="155">
        <v>232.3</v>
      </c>
      <c r="D3" s="489" t="s">
        <v>4</v>
      </c>
      <c r="E3" s="332"/>
      <c r="F3" s="332"/>
      <c r="G3" s="330"/>
    </row>
    <row r="4" spans="1:7" ht="21" x14ac:dyDescent="0.4">
      <c r="A4" s="347" t="s">
        <v>6</v>
      </c>
      <c r="B4" s="330"/>
      <c r="C4" s="155">
        <v>188.5</v>
      </c>
      <c r="D4" s="489" t="s">
        <v>4</v>
      </c>
      <c r="E4" s="332"/>
      <c r="F4" s="332"/>
      <c r="G4" s="330"/>
    </row>
    <row r="5" spans="1:7" ht="21" x14ac:dyDescent="0.4">
      <c r="A5" s="345" t="s">
        <v>72</v>
      </c>
      <c r="B5" s="330"/>
      <c r="C5" s="489"/>
      <c r="D5" s="332"/>
      <c r="E5" s="332"/>
      <c r="F5" s="332"/>
      <c r="G5" s="330"/>
    </row>
    <row r="6" spans="1:7" ht="21" x14ac:dyDescent="0.4">
      <c r="A6" s="345" t="s">
        <v>200</v>
      </c>
      <c r="B6" s="330"/>
      <c r="C6" s="345"/>
      <c r="D6" s="332"/>
      <c r="E6" s="332"/>
      <c r="F6" s="332"/>
      <c r="G6" s="330"/>
    </row>
    <row r="7" spans="1:7" ht="15" customHeight="1" x14ac:dyDescent="0.3">
      <c r="A7" s="350" t="s">
        <v>10</v>
      </c>
      <c r="B7" s="336"/>
      <c r="C7" s="353" t="s">
        <v>11</v>
      </c>
      <c r="D7" s="616" t="s">
        <v>171</v>
      </c>
      <c r="E7" s="336"/>
      <c r="F7" s="363" t="s">
        <v>13</v>
      </c>
      <c r="G7" s="617" t="s">
        <v>14</v>
      </c>
    </row>
    <row r="8" spans="1:7" ht="14.4" x14ac:dyDescent="0.3">
      <c r="A8" s="337"/>
      <c r="B8" s="339"/>
      <c r="C8" s="342"/>
      <c r="D8" s="337"/>
      <c r="E8" s="339"/>
      <c r="F8" s="342"/>
      <c r="G8" s="342"/>
    </row>
    <row r="9" spans="1:7" ht="14.4" x14ac:dyDescent="0.25">
      <c r="A9" s="349" t="s">
        <v>19</v>
      </c>
      <c r="B9" s="363" t="s">
        <v>201</v>
      </c>
      <c r="C9" s="363"/>
      <c r="D9" s="346">
        <f>C3</f>
        <v>232.3</v>
      </c>
      <c r="E9" s="330"/>
      <c r="F9" s="13">
        <v>2</v>
      </c>
      <c r="G9" s="363">
        <v>90</v>
      </c>
    </row>
    <row r="10" spans="1:7" ht="14.4" x14ac:dyDescent="0.25">
      <c r="A10" s="342"/>
      <c r="B10" s="342"/>
      <c r="C10" s="354"/>
      <c r="D10" s="346">
        <f>C4-5</f>
        <v>183.5</v>
      </c>
      <c r="E10" s="330"/>
      <c r="F10" s="13">
        <v>1</v>
      </c>
      <c r="G10" s="354"/>
    </row>
    <row r="11" spans="1:7" ht="14.4" x14ac:dyDescent="0.25">
      <c r="A11" s="349" t="s">
        <v>66</v>
      </c>
      <c r="B11" s="156" t="s">
        <v>206</v>
      </c>
      <c r="C11" s="24" t="s">
        <v>179</v>
      </c>
      <c r="D11" s="346">
        <f>C3-4.1</f>
        <v>228.20000000000002</v>
      </c>
      <c r="E11" s="330"/>
      <c r="F11" s="13">
        <v>4</v>
      </c>
      <c r="G11" s="354"/>
    </row>
    <row r="12" spans="1:7" ht="14.4" x14ac:dyDescent="0.3">
      <c r="A12" s="354"/>
      <c r="B12" s="156" t="s">
        <v>206</v>
      </c>
      <c r="C12" s="78" t="s">
        <v>179</v>
      </c>
      <c r="D12" s="346">
        <f>(C4-42.6)/2</f>
        <v>72.95</v>
      </c>
      <c r="E12" s="330"/>
      <c r="F12" s="13">
        <v>6</v>
      </c>
      <c r="G12" s="354"/>
    </row>
    <row r="13" spans="1:7" ht="14.4" x14ac:dyDescent="0.3">
      <c r="A13" s="354"/>
      <c r="B13" s="134" t="s">
        <v>207</v>
      </c>
      <c r="C13" s="78" t="s">
        <v>177</v>
      </c>
      <c r="D13" s="346">
        <f>D12</f>
        <v>72.95</v>
      </c>
      <c r="E13" s="330"/>
      <c r="F13" s="13">
        <v>2</v>
      </c>
      <c r="G13" s="342"/>
    </row>
    <row r="14" spans="1:7" ht="14.4" x14ac:dyDescent="0.25">
      <c r="A14" s="354"/>
      <c r="B14" s="363" t="s">
        <v>180</v>
      </c>
      <c r="C14" s="612"/>
      <c r="D14" s="346">
        <v>3.4</v>
      </c>
      <c r="E14" s="330"/>
      <c r="F14" s="13">
        <v>4</v>
      </c>
      <c r="G14" s="363">
        <v>90</v>
      </c>
    </row>
    <row r="15" spans="1:7" ht="14.4" x14ac:dyDescent="0.25">
      <c r="A15" s="354"/>
      <c r="B15" s="354"/>
      <c r="C15" s="354"/>
      <c r="D15" s="346">
        <v>2.8</v>
      </c>
      <c r="E15" s="330"/>
      <c r="F15" s="13">
        <v>4</v>
      </c>
      <c r="G15" s="354"/>
    </row>
    <row r="16" spans="1:7" ht="14.4" x14ac:dyDescent="0.25">
      <c r="A16" s="342"/>
      <c r="B16" s="342"/>
      <c r="C16" s="342"/>
      <c r="D16" s="346">
        <v>2.2000000000000002</v>
      </c>
      <c r="E16" s="330"/>
      <c r="F16" s="13">
        <v>4</v>
      </c>
      <c r="G16" s="342"/>
    </row>
    <row r="17" spans="1:7" ht="14.4" x14ac:dyDescent="0.25">
      <c r="A17" s="349" t="s">
        <v>181</v>
      </c>
      <c r="B17" s="61" t="s">
        <v>182</v>
      </c>
      <c r="C17" s="612"/>
      <c r="D17" s="346">
        <f>D12</f>
        <v>72.95</v>
      </c>
      <c r="E17" s="330"/>
      <c r="F17" s="13">
        <v>8</v>
      </c>
      <c r="G17" s="61">
        <v>90</v>
      </c>
    </row>
    <row r="18" spans="1:7" ht="14.4" x14ac:dyDescent="0.25">
      <c r="A18" s="354"/>
      <c r="B18" s="61" t="s">
        <v>202</v>
      </c>
      <c r="C18" s="354"/>
      <c r="D18" s="346">
        <f>(D9-15.8)/2</f>
        <v>108.25</v>
      </c>
      <c r="E18" s="330"/>
      <c r="F18" s="13">
        <v>4</v>
      </c>
      <c r="G18" s="61">
        <v>90</v>
      </c>
    </row>
    <row r="19" spans="1:7" ht="14.4" x14ac:dyDescent="0.25">
      <c r="A19" s="354"/>
      <c r="B19" s="61" t="s">
        <v>202</v>
      </c>
      <c r="C19" s="354"/>
      <c r="D19" s="346">
        <f>(D9-380)/2</f>
        <v>-73.849999999999994</v>
      </c>
      <c r="E19" s="330"/>
      <c r="F19" s="13">
        <v>4</v>
      </c>
      <c r="G19" s="61">
        <v>90</v>
      </c>
    </row>
    <row r="20" spans="1:7" ht="14.4" x14ac:dyDescent="0.25">
      <c r="A20" s="630" t="s">
        <v>184</v>
      </c>
      <c r="B20" s="13"/>
      <c r="C20" s="13" t="s">
        <v>3</v>
      </c>
      <c r="D20" s="628" t="s">
        <v>6</v>
      </c>
      <c r="E20" s="330"/>
      <c r="F20" s="13"/>
      <c r="G20" s="13"/>
    </row>
    <row r="21" spans="1:7" ht="15.75" customHeight="1" x14ac:dyDescent="0.25">
      <c r="A21" s="354"/>
      <c r="B21" s="612"/>
      <c r="C21" s="162">
        <f>(D9-39.6)/2</f>
        <v>96.350000000000009</v>
      </c>
      <c r="D21" s="629">
        <f>D12-0.8</f>
        <v>72.150000000000006</v>
      </c>
      <c r="E21" s="330"/>
      <c r="F21" s="159">
        <v>2</v>
      </c>
      <c r="G21" s="363"/>
    </row>
    <row r="22" spans="1:7" ht="15.75" customHeight="1" x14ac:dyDescent="0.25">
      <c r="A22" s="342"/>
      <c r="B22" s="342"/>
      <c r="C22" s="163">
        <f>(C3-27.2)/2</f>
        <v>102.55000000000001</v>
      </c>
      <c r="D22" s="629">
        <f>D21</f>
        <v>72.150000000000006</v>
      </c>
      <c r="E22" s="330"/>
      <c r="F22" s="159">
        <v>2</v>
      </c>
      <c r="G22" s="342"/>
    </row>
    <row r="23" spans="1:7" ht="15.75" customHeight="1" x14ac:dyDescent="0.25">
      <c r="A23" s="139" t="s">
        <v>185</v>
      </c>
      <c r="B23" s="13" t="s">
        <v>186</v>
      </c>
      <c r="C23" s="61"/>
      <c r="D23" s="356"/>
      <c r="E23" s="330"/>
      <c r="F23" s="53">
        <f>(C22*16)+(D22*16)</f>
        <v>2795.2000000000003</v>
      </c>
      <c r="G23" s="61" t="s">
        <v>43</v>
      </c>
    </row>
    <row r="24" spans="1:7" ht="15.75" customHeight="1" x14ac:dyDescent="0.25">
      <c r="A24" s="374" t="s">
        <v>48</v>
      </c>
      <c r="B24" s="13" t="s">
        <v>187</v>
      </c>
      <c r="C24" s="13" t="s">
        <v>188</v>
      </c>
      <c r="D24" s="333"/>
      <c r="E24" s="330"/>
      <c r="F24" s="13">
        <v>40</v>
      </c>
      <c r="G24" s="13"/>
    </row>
    <row r="25" spans="1:7" ht="15.75" customHeight="1" x14ac:dyDescent="0.25">
      <c r="A25" s="342"/>
      <c r="B25" s="13" t="s">
        <v>187</v>
      </c>
      <c r="C25" s="13" t="s">
        <v>189</v>
      </c>
      <c r="D25" s="333"/>
      <c r="E25" s="330"/>
      <c r="F25" s="13">
        <v>8</v>
      </c>
      <c r="G25" s="13"/>
    </row>
    <row r="26" spans="1:7" ht="15.75" customHeight="1" x14ac:dyDescent="0.25">
      <c r="A26" s="374" t="s">
        <v>190</v>
      </c>
      <c r="B26" s="13" t="s">
        <v>191</v>
      </c>
      <c r="C26" s="13" t="s">
        <v>192</v>
      </c>
      <c r="D26" s="333"/>
      <c r="E26" s="330"/>
      <c r="F26" s="13">
        <v>8</v>
      </c>
      <c r="G26" s="13"/>
    </row>
    <row r="27" spans="1:7" ht="15.75" customHeight="1" x14ac:dyDescent="0.25">
      <c r="A27" s="342"/>
      <c r="B27" s="13" t="s">
        <v>193</v>
      </c>
      <c r="C27" s="13" t="s">
        <v>194</v>
      </c>
      <c r="D27" s="333"/>
      <c r="E27" s="330"/>
      <c r="F27" s="13">
        <v>8</v>
      </c>
      <c r="G27" s="13"/>
    </row>
    <row r="28" spans="1:7" ht="15.75" customHeight="1" x14ac:dyDescent="0.3">
      <c r="A28" s="140" t="s">
        <v>195</v>
      </c>
      <c r="B28" s="13" t="s">
        <v>196</v>
      </c>
      <c r="C28" s="13"/>
      <c r="D28" s="333"/>
      <c r="E28" s="330"/>
      <c r="F28" s="13">
        <v>8</v>
      </c>
      <c r="G28" s="13"/>
    </row>
    <row r="29" spans="1:7" ht="15.75" customHeight="1" x14ac:dyDescent="0.3">
      <c r="A29" s="140" t="s">
        <v>197</v>
      </c>
      <c r="B29" s="13" t="s">
        <v>198</v>
      </c>
      <c r="C29" s="13"/>
      <c r="D29" s="333"/>
      <c r="E29" s="330"/>
      <c r="F29" s="13">
        <v>1</v>
      </c>
      <c r="G29" s="13"/>
    </row>
    <row r="30" spans="1:7" ht="15.75" customHeight="1" x14ac:dyDescent="0.3">
      <c r="A30" s="141" t="s">
        <v>56</v>
      </c>
      <c r="B30" s="611"/>
      <c r="C30" s="332"/>
      <c r="D30" s="332"/>
      <c r="E30" s="332"/>
      <c r="F30" s="332"/>
      <c r="G30" s="330"/>
    </row>
    <row r="31" spans="1:7" ht="15.75" customHeight="1" x14ac:dyDescent="0.3">
      <c r="A31" s="141" t="s">
        <v>57</v>
      </c>
      <c r="B31" s="611"/>
      <c r="C31" s="332"/>
      <c r="D31" s="332"/>
      <c r="E31" s="332"/>
      <c r="F31" s="332"/>
      <c r="G31" s="330"/>
    </row>
    <row r="32" spans="1:7" ht="15.75" customHeight="1" x14ac:dyDescent="0.3">
      <c r="A32" s="334" t="s">
        <v>58</v>
      </c>
      <c r="B32" s="335"/>
      <c r="C32" s="335"/>
      <c r="D32" s="335"/>
      <c r="E32" s="336"/>
      <c r="F32" s="331"/>
      <c r="G32" s="330"/>
    </row>
    <row r="33" spans="1:7" ht="15.75" customHeight="1" x14ac:dyDescent="0.3">
      <c r="A33" s="337"/>
      <c r="B33" s="338"/>
      <c r="C33" s="338"/>
      <c r="D33" s="338"/>
      <c r="E33" s="339"/>
      <c r="F33" s="331" t="s">
        <v>59</v>
      </c>
      <c r="G33" s="330"/>
    </row>
    <row r="34" spans="1:7" ht="15.75" customHeight="1" x14ac:dyDescent="0.3">
      <c r="A34" s="31"/>
      <c r="B34" s="627"/>
      <c r="C34" s="335"/>
      <c r="D34" s="335"/>
      <c r="E34" s="142"/>
      <c r="F34" s="142"/>
      <c r="G34" s="142"/>
    </row>
    <row r="35" spans="1:7" ht="15.75" customHeight="1" x14ac:dyDescent="0.3">
      <c r="A35" s="31"/>
      <c r="B35" s="32"/>
      <c r="C35" s="2"/>
      <c r="D35" s="142"/>
      <c r="E35" s="142"/>
      <c r="F35" s="142"/>
      <c r="G35" s="142"/>
    </row>
    <row r="36" spans="1:7" ht="15.75" customHeight="1" x14ac:dyDescent="0.3">
      <c r="A36" s="31"/>
      <c r="B36" s="32"/>
      <c r="C36" s="142"/>
      <c r="D36" s="142"/>
      <c r="E36" s="151"/>
      <c r="F36" s="142"/>
      <c r="G36" s="142"/>
    </row>
    <row r="37" spans="1:7" ht="15.75" customHeight="1" x14ac:dyDescent="0.3">
      <c r="A37" s="31"/>
      <c r="B37" s="32"/>
      <c r="C37" s="142"/>
      <c r="D37" s="142"/>
      <c r="E37" s="152"/>
      <c r="F37" s="142"/>
      <c r="G37" s="142"/>
    </row>
    <row r="38" spans="1:7" ht="15.75" customHeight="1" x14ac:dyDescent="0.3">
      <c r="A38" s="31"/>
      <c r="B38" s="32"/>
      <c r="C38" s="142"/>
      <c r="D38" s="142"/>
      <c r="E38" s="152"/>
      <c r="F38" s="142"/>
      <c r="G38" s="142"/>
    </row>
    <row r="39" spans="1:7" ht="15.75" customHeight="1" x14ac:dyDescent="0.3">
      <c r="A39" s="31"/>
      <c r="B39" s="32"/>
      <c r="C39" s="142"/>
      <c r="D39" s="142"/>
      <c r="E39" s="152"/>
      <c r="F39" s="142"/>
      <c r="G39" s="142"/>
    </row>
    <row r="40" spans="1:7" ht="15.75" customHeight="1" x14ac:dyDescent="0.3">
      <c r="A40" s="31"/>
      <c r="B40" s="32"/>
      <c r="C40" s="142"/>
      <c r="D40" s="142"/>
      <c r="E40" s="626">
        <f>C3</f>
        <v>232.3</v>
      </c>
      <c r="F40" s="327"/>
      <c r="G40" s="142"/>
    </row>
    <row r="41" spans="1:7" ht="15.75" customHeight="1" x14ac:dyDescent="0.3">
      <c r="A41" s="31"/>
      <c r="B41" s="32"/>
      <c r="C41" s="142"/>
      <c r="D41" s="142"/>
      <c r="E41" s="152"/>
      <c r="F41" s="142"/>
      <c r="G41" s="142"/>
    </row>
    <row r="42" spans="1:7" ht="15.75" customHeight="1" x14ac:dyDescent="0.3">
      <c r="A42" s="31"/>
      <c r="B42" s="32"/>
      <c r="C42" s="142"/>
      <c r="D42" s="142"/>
      <c r="E42" s="152"/>
      <c r="F42" s="142"/>
      <c r="G42" s="142"/>
    </row>
    <row r="43" spans="1:7" ht="15.75" customHeight="1" x14ac:dyDescent="0.3">
      <c r="A43" s="31"/>
      <c r="B43" s="32"/>
      <c r="C43" s="142"/>
      <c r="D43" s="142"/>
      <c r="E43" s="142"/>
      <c r="F43" s="142"/>
      <c r="G43" s="142"/>
    </row>
    <row r="44" spans="1:7" ht="15.75" customHeight="1" x14ac:dyDescent="0.3">
      <c r="A44" s="31"/>
      <c r="B44" s="484"/>
      <c r="C44" s="327"/>
      <c r="D44" s="327"/>
      <c r="E44" s="142"/>
      <c r="F44" s="142"/>
      <c r="G44" s="142"/>
    </row>
    <row r="45" spans="1:7" ht="15.75" customHeight="1" x14ac:dyDescent="0.3">
      <c r="A45" s="31"/>
      <c r="B45" s="32"/>
      <c r="C45" s="142"/>
      <c r="D45" s="142"/>
      <c r="E45" s="142"/>
      <c r="F45" s="142"/>
      <c r="G45" s="142"/>
    </row>
    <row r="46" spans="1:7" ht="15.75" customHeight="1" x14ac:dyDescent="0.3"/>
    <row r="47" spans="1:7" ht="15.75" customHeight="1" x14ac:dyDescent="0.3"/>
    <row r="48" spans="1:7" ht="15.75" customHeight="1" x14ac:dyDescent="0.4">
      <c r="B48" s="328">
        <f>C4</f>
        <v>188.5</v>
      </c>
      <c r="C48" s="327"/>
      <c r="D48" s="327"/>
    </row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60">
    <mergeCell ref="A2:G2"/>
    <mergeCell ref="B1:C1"/>
    <mergeCell ref="A11:A16"/>
    <mergeCell ref="A5:B5"/>
    <mergeCell ref="A6:B6"/>
    <mergeCell ref="A4:B4"/>
    <mergeCell ref="A7:B8"/>
    <mergeCell ref="B9:B10"/>
    <mergeCell ref="A9:A10"/>
    <mergeCell ref="A3:B3"/>
    <mergeCell ref="D4:G4"/>
    <mergeCell ref="D11:E11"/>
    <mergeCell ref="G9:G13"/>
    <mergeCell ref="D3:G3"/>
    <mergeCell ref="B44:D44"/>
    <mergeCell ref="B48:D48"/>
    <mergeCell ref="D29:E29"/>
    <mergeCell ref="D28:E28"/>
    <mergeCell ref="D26:E26"/>
    <mergeCell ref="B30:G30"/>
    <mergeCell ref="B31:G31"/>
    <mergeCell ref="B34:D34"/>
    <mergeCell ref="A32:E33"/>
    <mergeCell ref="F32:G32"/>
    <mergeCell ref="F33:G33"/>
    <mergeCell ref="E40:F40"/>
    <mergeCell ref="D27:E27"/>
    <mergeCell ref="A26:A27"/>
    <mergeCell ref="A20:A22"/>
    <mergeCell ref="A17:A19"/>
    <mergeCell ref="G14:G16"/>
    <mergeCell ref="G21:G22"/>
    <mergeCell ref="C5:G5"/>
    <mergeCell ref="C6:G6"/>
    <mergeCell ref="C9:C10"/>
    <mergeCell ref="D7:E8"/>
    <mergeCell ref="C7:C8"/>
    <mergeCell ref="D22:E22"/>
    <mergeCell ref="D17:E17"/>
    <mergeCell ref="D16:E16"/>
    <mergeCell ref="D12:E12"/>
    <mergeCell ref="D15:E15"/>
    <mergeCell ref="D14:E14"/>
    <mergeCell ref="D13:E13"/>
    <mergeCell ref="A24:A25"/>
    <mergeCell ref="B21:B22"/>
    <mergeCell ref="D23:E23"/>
    <mergeCell ref="F7:F8"/>
    <mergeCell ref="G7:G8"/>
    <mergeCell ref="D10:E10"/>
    <mergeCell ref="D9:E9"/>
    <mergeCell ref="C17:C19"/>
    <mergeCell ref="C14:C16"/>
    <mergeCell ref="B14:B16"/>
    <mergeCell ref="D24:E24"/>
    <mergeCell ref="D25:E25"/>
    <mergeCell ref="D18:E18"/>
    <mergeCell ref="D19:E19"/>
    <mergeCell ref="D21:E21"/>
    <mergeCell ref="D20:E20"/>
  </mergeCells>
  <pageMargins left="0.7" right="0.7" top="0.75" bottom="0.75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Views>
    <sheetView workbookViewId="0"/>
  </sheetViews>
  <sheetFormatPr baseColWidth="10" defaultColWidth="14.44140625" defaultRowHeight="15" customHeight="1" x14ac:dyDescent="0.3"/>
  <cols>
    <col min="1" max="1" width="17" customWidth="1"/>
    <col min="2" max="2" width="13.5546875" customWidth="1"/>
    <col min="3" max="3" width="11.109375" customWidth="1"/>
    <col min="4" max="4" width="9" customWidth="1"/>
    <col min="5" max="5" width="8.33203125" customWidth="1"/>
    <col min="6" max="6" width="6.6640625" customWidth="1"/>
    <col min="7" max="7" width="12.44140625" customWidth="1"/>
  </cols>
  <sheetData>
    <row r="1" spans="1:7" ht="21" x14ac:dyDescent="0.4">
      <c r="A1" s="5"/>
      <c r="B1" s="164"/>
      <c r="C1" s="164"/>
      <c r="D1" s="164"/>
      <c r="E1" s="164"/>
      <c r="F1" s="164"/>
      <c r="G1" s="165"/>
    </row>
    <row r="2" spans="1:7" ht="21" x14ac:dyDescent="0.4">
      <c r="A2" s="343" t="s">
        <v>211</v>
      </c>
      <c r="B2" s="332"/>
      <c r="C2" s="332"/>
      <c r="D2" s="332"/>
      <c r="E2" s="332"/>
      <c r="F2" s="332"/>
      <c r="G2" s="330"/>
    </row>
    <row r="3" spans="1:7" ht="21" x14ac:dyDescent="0.4">
      <c r="A3" s="73" t="s">
        <v>3</v>
      </c>
      <c r="B3" s="632">
        <v>100</v>
      </c>
      <c r="C3" s="330"/>
      <c r="D3" s="489" t="s">
        <v>4</v>
      </c>
      <c r="E3" s="332"/>
      <c r="F3" s="332"/>
      <c r="G3" s="330"/>
    </row>
    <row r="4" spans="1:7" ht="21" x14ac:dyDescent="0.4">
      <c r="A4" s="73" t="s">
        <v>6</v>
      </c>
      <c r="B4" s="632">
        <v>100</v>
      </c>
      <c r="C4" s="330"/>
      <c r="D4" s="489" t="s">
        <v>4</v>
      </c>
      <c r="E4" s="332"/>
      <c r="F4" s="332"/>
      <c r="G4" s="330"/>
    </row>
    <row r="5" spans="1:7" ht="21" x14ac:dyDescent="0.4">
      <c r="A5" s="345" t="s">
        <v>72</v>
      </c>
      <c r="B5" s="330"/>
      <c r="C5" s="631">
        <v>3831</v>
      </c>
      <c r="D5" s="332"/>
      <c r="E5" s="332"/>
      <c r="F5" s="332"/>
      <c r="G5" s="330"/>
    </row>
    <row r="6" spans="1:7" ht="21" x14ac:dyDescent="0.4">
      <c r="A6" s="345" t="s">
        <v>9</v>
      </c>
      <c r="B6" s="330"/>
      <c r="C6" s="631" t="s">
        <v>212</v>
      </c>
      <c r="D6" s="332"/>
      <c r="E6" s="332"/>
      <c r="F6" s="332"/>
      <c r="G6" s="330"/>
    </row>
    <row r="7" spans="1:7" ht="15" customHeight="1" x14ac:dyDescent="0.3">
      <c r="A7" s="350" t="s">
        <v>10</v>
      </c>
      <c r="B7" s="336"/>
      <c r="C7" s="353" t="s">
        <v>11</v>
      </c>
      <c r="D7" s="633" t="s">
        <v>213</v>
      </c>
      <c r="E7" s="336"/>
      <c r="F7" s="363" t="s">
        <v>13</v>
      </c>
      <c r="G7" s="363" t="s">
        <v>84</v>
      </c>
    </row>
    <row r="8" spans="1:7" ht="14.4" x14ac:dyDescent="0.3">
      <c r="A8" s="337"/>
      <c r="B8" s="339"/>
      <c r="C8" s="342"/>
      <c r="D8" s="337"/>
      <c r="E8" s="339"/>
      <c r="F8" s="342"/>
      <c r="G8" s="342"/>
    </row>
    <row r="9" spans="1:7" ht="26.4" x14ac:dyDescent="0.3">
      <c r="A9" s="353" t="s">
        <v>19</v>
      </c>
      <c r="B9" s="61" t="s">
        <v>214</v>
      </c>
      <c r="C9" s="61" t="s">
        <v>215</v>
      </c>
      <c r="D9" s="640">
        <f>B3</f>
        <v>100</v>
      </c>
      <c r="E9" s="330"/>
      <c r="F9" s="15">
        <v>2</v>
      </c>
      <c r="G9" s="15">
        <v>90</v>
      </c>
    </row>
    <row r="10" spans="1:7" ht="14.4" x14ac:dyDescent="0.25">
      <c r="A10" s="354"/>
      <c r="B10" s="13" t="s">
        <v>26</v>
      </c>
      <c r="C10" s="13" t="s">
        <v>216</v>
      </c>
      <c r="D10" s="346">
        <f>B4-2.6</f>
        <v>97.4</v>
      </c>
      <c r="E10" s="330"/>
      <c r="F10" s="13">
        <v>2</v>
      </c>
      <c r="G10" s="13">
        <v>90</v>
      </c>
    </row>
    <row r="11" spans="1:7" ht="14.4" x14ac:dyDescent="0.25">
      <c r="A11" s="354"/>
      <c r="B11" s="363" t="s">
        <v>217</v>
      </c>
      <c r="C11" s="363" t="s">
        <v>218</v>
      </c>
      <c r="D11" s="346">
        <f>D10:E10-0.6</f>
        <v>96.800000000000011</v>
      </c>
      <c r="E11" s="330"/>
      <c r="F11" s="13">
        <v>2</v>
      </c>
      <c r="G11" s="13">
        <v>45</v>
      </c>
    </row>
    <row r="12" spans="1:7" ht="14.4" x14ac:dyDescent="0.25">
      <c r="A12" s="342"/>
      <c r="B12" s="342"/>
      <c r="C12" s="342"/>
      <c r="D12" s="346">
        <f>D9:E9-3.2</f>
        <v>96.8</v>
      </c>
      <c r="E12" s="330"/>
      <c r="F12" s="13">
        <v>2</v>
      </c>
      <c r="G12" s="13">
        <v>90</v>
      </c>
    </row>
    <row r="13" spans="1:7" ht="14.4" x14ac:dyDescent="0.25">
      <c r="A13" s="639" t="s">
        <v>184</v>
      </c>
      <c r="B13" s="638"/>
      <c r="C13" s="336"/>
      <c r="D13" s="53" t="s">
        <v>3</v>
      </c>
      <c r="E13" s="53" t="s">
        <v>6</v>
      </c>
      <c r="F13" s="13"/>
      <c r="G13" s="13"/>
    </row>
    <row r="14" spans="1:7" ht="14.4" x14ac:dyDescent="0.25">
      <c r="A14" s="342"/>
      <c r="B14" s="337"/>
      <c r="C14" s="339"/>
      <c r="D14" s="166">
        <f>B4-4.2</f>
        <v>95.8</v>
      </c>
      <c r="E14" s="166">
        <f>B3-4.2</f>
        <v>95.8</v>
      </c>
      <c r="F14" s="159">
        <v>2</v>
      </c>
      <c r="G14" s="13"/>
    </row>
    <row r="15" spans="1:7" ht="15.6" x14ac:dyDescent="0.3">
      <c r="A15" s="20" t="s">
        <v>42</v>
      </c>
      <c r="B15" s="13" t="s">
        <v>186</v>
      </c>
      <c r="C15" s="13"/>
      <c r="D15" s="346"/>
      <c r="E15" s="330"/>
      <c r="F15" s="13">
        <f>(D14*4)+(E14*4)</f>
        <v>766.4</v>
      </c>
      <c r="G15" s="13" t="s">
        <v>43</v>
      </c>
    </row>
    <row r="16" spans="1:7" ht="15.6" x14ac:dyDescent="0.3">
      <c r="A16" s="20" t="s">
        <v>219</v>
      </c>
      <c r="B16" s="26" t="s">
        <v>220</v>
      </c>
      <c r="C16" s="13"/>
      <c r="D16" s="346"/>
      <c r="E16" s="330"/>
      <c r="F16" s="13">
        <v>16</v>
      </c>
      <c r="G16" s="13"/>
    </row>
    <row r="17" spans="1:7" ht="14.4" x14ac:dyDescent="0.25">
      <c r="A17" s="353" t="s">
        <v>190</v>
      </c>
      <c r="B17" s="13" t="s">
        <v>221</v>
      </c>
      <c r="C17" s="13" t="s">
        <v>222</v>
      </c>
      <c r="D17" s="333"/>
      <c r="E17" s="330"/>
      <c r="F17" s="13">
        <v>8</v>
      </c>
      <c r="G17" s="13"/>
    </row>
    <row r="18" spans="1:7" ht="14.4" x14ac:dyDescent="0.25">
      <c r="A18" s="342"/>
      <c r="B18" s="13" t="s">
        <v>191</v>
      </c>
      <c r="C18" s="13" t="s">
        <v>194</v>
      </c>
      <c r="D18" s="333"/>
      <c r="E18" s="330"/>
      <c r="F18" s="13">
        <v>6</v>
      </c>
      <c r="G18" s="13"/>
    </row>
    <row r="19" spans="1:7" ht="15.6" x14ac:dyDescent="0.3">
      <c r="A19" s="20" t="s">
        <v>193</v>
      </c>
      <c r="B19" s="13" t="s">
        <v>223</v>
      </c>
      <c r="C19" s="13"/>
      <c r="D19" s="333"/>
      <c r="E19" s="330"/>
      <c r="F19" s="13">
        <v>6</v>
      </c>
      <c r="G19" s="13"/>
    </row>
    <row r="20" spans="1:7" ht="15.6" x14ac:dyDescent="0.3">
      <c r="A20" s="557"/>
      <c r="B20" s="332"/>
      <c r="C20" s="332"/>
      <c r="D20" s="332"/>
      <c r="E20" s="332"/>
      <c r="F20" s="332"/>
      <c r="G20" s="330"/>
    </row>
    <row r="21" spans="1:7" ht="15.75" customHeight="1" x14ac:dyDescent="0.3">
      <c r="A21" s="331" t="s">
        <v>56</v>
      </c>
      <c r="B21" s="330"/>
      <c r="C21" s="636"/>
      <c r="D21" s="332"/>
      <c r="E21" s="332"/>
      <c r="F21" s="332"/>
      <c r="G21" s="330"/>
    </row>
    <row r="22" spans="1:7" ht="15.75" customHeight="1" x14ac:dyDescent="0.3">
      <c r="A22" s="331" t="s">
        <v>57</v>
      </c>
      <c r="B22" s="330"/>
      <c r="C22" s="636"/>
      <c r="D22" s="332"/>
      <c r="E22" s="332"/>
      <c r="F22" s="332"/>
      <c r="G22" s="330"/>
    </row>
    <row r="23" spans="1:7" ht="15.75" customHeight="1" x14ac:dyDescent="0.3">
      <c r="A23" s="334" t="s">
        <v>58</v>
      </c>
      <c r="B23" s="335"/>
      <c r="C23" s="335"/>
      <c r="D23" s="335"/>
      <c r="E23" s="336"/>
      <c r="F23" s="636"/>
      <c r="G23" s="330"/>
    </row>
    <row r="24" spans="1:7" ht="15.75" customHeight="1" x14ac:dyDescent="0.3">
      <c r="A24" s="337"/>
      <c r="B24" s="338"/>
      <c r="C24" s="338"/>
      <c r="D24" s="338"/>
      <c r="E24" s="339"/>
      <c r="F24" s="331" t="s">
        <v>59</v>
      </c>
      <c r="G24" s="330"/>
    </row>
    <row r="25" spans="1:7" ht="15.75" customHeight="1" x14ac:dyDescent="0.3"/>
    <row r="26" spans="1:7" ht="15.75" customHeight="1" x14ac:dyDescent="0.3">
      <c r="E26" s="2"/>
      <c r="F26" s="2"/>
      <c r="G26" s="2"/>
    </row>
    <row r="27" spans="1:7" ht="15.75" customHeight="1" x14ac:dyDescent="0.3">
      <c r="B27" s="637"/>
      <c r="C27" s="635"/>
      <c r="D27" s="635"/>
      <c r="E27" s="2"/>
      <c r="F27" s="2"/>
      <c r="G27" s="2"/>
    </row>
    <row r="28" spans="1:7" ht="15.75" customHeight="1" x14ac:dyDescent="0.3">
      <c r="E28" s="2"/>
      <c r="F28" s="2"/>
      <c r="G28" s="2"/>
    </row>
    <row r="29" spans="1:7" ht="15.75" customHeight="1" x14ac:dyDescent="0.4">
      <c r="E29" s="35">
        <f>B3</f>
        <v>100</v>
      </c>
      <c r="F29" s="2"/>
      <c r="G29" s="2"/>
    </row>
    <row r="30" spans="1:7" ht="15.75" customHeight="1" x14ac:dyDescent="0.3">
      <c r="E30" s="2"/>
      <c r="F30" s="2"/>
      <c r="G30" s="2"/>
    </row>
    <row r="31" spans="1:7" ht="15.75" customHeight="1" x14ac:dyDescent="0.3">
      <c r="E31" s="2"/>
      <c r="F31" s="2"/>
      <c r="G31" s="2"/>
    </row>
    <row r="32" spans="1:7" ht="15.75" customHeight="1" x14ac:dyDescent="0.3">
      <c r="E32" s="2"/>
      <c r="F32" s="2"/>
      <c r="G32" s="2"/>
    </row>
    <row r="33" spans="2:7" ht="15.75" customHeight="1" x14ac:dyDescent="0.3">
      <c r="E33" s="2"/>
      <c r="F33" s="2"/>
      <c r="G33" s="2"/>
    </row>
    <row r="34" spans="2:7" ht="15.75" customHeight="1" x14ac:dyDescent="0.3">
      <c r="E34" s="2"/>
      <c r="F34" s="2"/>
      <c r="G34" s="2"/>
    </row>
    <row r="35" spans="2:7" ht="15.75" customHeight="1" x14ac:dyDescent="0.3">
      <c r="E35" s="2"/>
      <c r="F35" s="2"/>
      <c r="G35" s="2"/>
    </row>
    <row r="36" spans="2:7" ht="15.75" customHeight="1" x14ac:dyDescent="0.4">
      <c r="B36" s="328">
        <f>B4</f>
        <v>100</v>
      </c>
      <c r="C36" s="327"/>
      <c r="D36" s="327"/>
      <c r="E36" s="2"/>
      <c r="F36" s="2"/>
      <c r="G36" s="2"/>
    </row>
    <row r="37" spans="2:7" ht="15.75" customHeight="1" x14ac:dyDescent="0.3">
      <c r="E37" s="2"/>
      <c r="F37" s="2"/>
      <c r="G37" s="2"/>
    </row>
    <row r="38" spans="2:7" ht="15.75" customHeight="1" x14ac:dyDescent="0.3">
      <c r="E38" s="2"/>
      <c r="F38" s="2"/>
      <c r="G38" s="2"/>
    </row>
    <row r="39" spans="2:7" ht="15.75" customHeight="1" x14ac:dyDescent="0.3">
      <c r="B39" s="634"/>
      <c r="C39" s="635"/>
      <c r="D39" s="635"/>
      <c r="E39" s="2"/>
      <c r="F39" s="2"/>
      <c r="G39" s="2"/>
    </row>
    <row r="40" spans="2:7" ht="15.75" customHeight="1" x14ac:dyDescent="0.3">
      <c r="B40" s="372"/>
      <c r="C40" s="327"/>
      <c r="D40" s="327"/>
      <c r="E40" s="2"/>
      <c r="F40" s="2"/>
      <c r="G40" s="2"/>
    </row>
    <row r="41" spans="2:7" ht="15.75" customHeight="1" x14ac:dyDescent="0.3">
      <c r="E41" s="2"/>
      <c r="F41" s="2"/>
      <c r="G41" s="2"/>
    </row>
    <row r="42" spans="2:7" ht="15.75" customHeight="1" x14ac:dyDescent="0.3">
      <c r="E42" s="2"/>
      <c r="F42" s="2"/>
      <c r="G42" s="2"/>
    </row>
    <row r="43" spans="2:7" ht="15.75" customHeight="1" x14ac:dyDescent="0.3">
      <c r="E43" s="2"/>
      <c r="F43" s="2"/>
      <c r="G43" s="2"/>
    </row>
    <row r="44" spans="2:7" ht="15.75" customHeight="1" x14ac:dyDescent="0.3"/>
    <row r="45" spans="2:7" ht="15.75" customHeight="1" x14ac:dyDescent="0.3"/>
    <row r="46" spans="2:7" ht="15.75" customHeight="1" x14ac:dyDescent="0.3"/>
    <row r="47" spans="2:7" ht="15.75" customHeight="1" x14ac:dyDescent="0.3"/>
    <row r="48" spans="2: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41">
    <mergeCell ref="A2:G2"/>
    <mergeCell ref="B3:C3"/>
    <mergeCell ref="A6:B6"/>
    <mergeCell ref="A7:B8"/>
    <mergeCell ref="C21:G21"/>
    <mergeCell ref="D19:E19"/>
    <mergeCell ref="A20:G20"/>
    <mergeCell ref="A21:B21"/>
    <mergeCell ref="A17:A18"/>
    <mergeCell ref="D12:E12"/>
    <mergeCell ref="D11:E11"/>
    <mergeCell ref="A9:A12"/>
    <mergeCell ref="D10:E10"/>
    <mergeCell ref="B13:C14"/>
    <mergeCell ref="A13:A14"/>
    <mergeCell ref="D9:E9"/>
    <mergeCell ref="B39:D39"/>
    <mergeCell ref="B40:D40"/>
    <mergeCell ref="B36:D36"/>
    <mergeCell ref="D3:G3"/>
    <mergeCell ref="C22:G22"/>
    <mergeCell ref="F23:G23"/>
    <mergeCell ref="F24:G24"/>
    <mergeCell ref="A23:E24"/>
    <mergeCell ref="B27:D27"/>
    <mergeCell ref="A22:B22"/>
    <mergeCell ref="D18:E18"/>
    <mergeCell ref="D17:E17"/>
    <mergeCell ref="D16:E16"/>
    <mergeCell ref="D15:E15"/>
    <mergeCell ref="B11:B12"/>
    <mergeCell ref="C11:C12"/>
    <mergeCell ref="A5:B5"/>
    <mergeCell ref="C5:G5"/>
    <mergeCell ref="D4:G4"/>
    <mergeCell ref="B4:C4"/>
    <mergeCell ref="D7:E8"/>
    <mergeCell ref="G7:G8"/>
    <mergeCell ref="F7:F8"/>
    <mergeCell ref="C7:C8"/>
    <mergeCell ref="C6:G6"/>
  </mergeCells>
  <pageMargins left="0.7" right="0.7" top="0.75" bottom="0.75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Views>
    <sheetView workbookViewId="0"/>
  </sheetViews>
  <sheetFormatPr baseColWidth="10" defaultColWidth="14.44140625" defaultRowHeight="15" customHeight="1" x14ac:dyDescent="0.3"/>
  <cols>
    <col min="1" max="1" width="29.6640625" customWidth="1"/>
    <col min="2" max="2" width="20.44140625" customWidth="1"/>
    <col min="3" max="3" width="14.44140625" customWidth="1"/>
    <col min="4" max="4" width="7.33203125" customWidth="1"/>
    <col min="5" max="5" width="7.44140625" customWidth="1"/>
    <col min="6" max="6" width="7.5546875" customWidth="1"/>
    <col min="7" max="7" width="13" customWidth="1"/>
  </cols>
  <sheetData>
    <row r="1" spans="1:7" ht="23.4" x14ac:dyDescent="0.45">
      <c r="A1" s="124" t="s">
        <v>169</v>
      </c>
      <c r="B1" s="622"/>
      <c r="C1" s="332"/>
      <c r="D1" s="145"/>
      <c r="E1" s="145"/>
      <c r="F1" s="145"/>
      <c r="G1" s="145"/>
    </row>
    <row r="2" spans="1:7" ht="21" x14ac:dyDescent="0.4">
      <c r="A2" s="343" t="s">
        <v>224</v>
      </c>
      <c r="B2" s="332"/>
      <c r="C2" s="332"/>
      <c r="D2" s="332"/>
      <c r="E2" s="332"/>
      <c r="F2" s="332"/>
      <c r="G2" s="330"/>
    </row>
    <row r="3" spans="1:7" ht="21" x14ac:dyDescent="0.4">
      <c r="A3" s="345" t="s">
        <v>3</v>
      </c>
      <c r="B3" s="330"/>
      <c r="C3" s="155">
        <v>100</v>
      </c>
      <c r="D3" s="489" t="s">
        <v>4</v>
      </c>
      <c r="E3" s="332"/>
      <c r="F3" s="332"/>
      <c r="G3" s="330"/>
    </row>
    <row r="4" spans="1:7" ht="21" x14ac:dyDescent="0.4">
      <c r="A4" s="347" t="s">
        <v>6</v>
      </c>
      <c r="B4" s="330"/>
      <c r="C4" s="155">
        <v>100</v>
      </c>
      <c r="D4" s="489" t="s">
        <v>4</v>
      </c>
      <c r="E4" s="332"/>
      <c r="F4" s="332"/>
      <c r="G4" s="330"/>
    </row>
    <row r="5" spans="1:7" ht="21" x14ac:dyDescent="0.4">
      <c r="A5" s="347" t="s">
        <v>225</v>
      </c>
      <c r="B5" s="330"/>
      <c r="C5" s="155">
        <v>40</v>
      </c>
      <c r="D5" s="489" t="s">
        <v>4</v>
      </c>
      <c r="E5" s="332"/>
      <c r="F5" s="330"/>
      <c r="G5" s="167"/>
    </row>
    <row r="6" spans="1:7" ht="21" x14ac:dyDescent="0.4">
      <c r="A6" s="345" t="s">
        <v>72</v>
      </c>
      <c r="B6" s="330"/>
      <c r="C6" s="489">
        <v>3831</v>
      </c>
      <c r="D6" s="332"/>
      <c r="E6" s="332"/>
      <c r="F6" s="332"/>
      <c r="G6" s="330"/>
    </row>
    <row r="7" spans="1:7" ht="21" x14ac:dyDescent="0.4">
      <c r="A7" s="345" t="s">
        <v>9</v>
      </c>
      <c r="B7" s="330"/>
      <c r="C7" s="345" t="s">
        <v>212</v>
      </c>
      <c r="D7" s="332"/>
      <c r="E7" s="332"/>
      <c r="F7" s="332"/>
      <c r="G7" s="330"/>
    </row>
    <row r="8" spans="1:7" ht="15" customHeight="1" x14ac:dyDescent="0.3">
      <c r="A8" s="350" t="s">
        <v>10</v>
      </c>
      <c r="B8" s="336"/>
      <c r="C8" s="353" t="s">
        <v>11</v>
      </c>
      <c r="D8" s="616" t="s">
        <v>226</v>
      </c>
      <c r="E8" s="336"/>
      <c r="F8" s="363" t="s">
        <v>13</v>
      </c>
      <c r="G8" s="617" t="s">
        <v>14</v>
      </c>
    </row>
    <row r="9" spans="1:7" ht="14.4" x14ac:dyDescent="0.3">
      <c r="A9" s="337"/>
      <c r="B9" s="339"/>
      <c r="C9" s="342"/>
      <c r="D9" s="337"/>
      <c r="E9" s="339"/>
      <c r="F9" s="342"/>
      <c r="G9" s="342"/>
    </row>
    <row r="10" spans="1:7" ht="15" customHeight="1" x14ac:dyDescent="0.25">
      <c r="A10" s="643" t="s">
        <v>19</v>
      </c>
      <c r="B10" s="61" t="s">
        <v>20</v>
      </c>
      <c r="C10" s="40" t="s">
        <v>227</v>
      </c>
      <c r="D10" s="346">
        <f t="shared" ref="D10:D11" si="0">C3</f>
        <v>100</v>
      </c>
      <c r="E10" s="330"/>
      <c r="F10" s="13">
        <v>1</v>
      </c>
      <c r="G10" s="363">
        <v>90</v>
      </c>
    </row>
    <row r="11" spans="1:7" ht="15" customHeight="1" x14ac:dyDescent="0.25">
      <c r="A11" s="354"/>
      <c r="B11" s="40" t="s">
        <v>23</v>
      </c>
      <c r="C11" s="168" t="s">
        <v>227</v>
      </c>
      <c r="D11" s="346">
        <f t="shared" si="0"/>
        <v>100</v>
      </c>
      <c r="E11" s="330"/>
      <c r="F11" s="13">
        <v>1</v>
      </c>
      <c r="G11" s="354"/>
    </row>
    <row r="12" spans="1:7" ht="15" customHeight="1" x14ac:dyDescent="0.25">
      <c r="A12" s="354"/>
      <c r="B12" s="15" t="s">
        <v>26</v>
      </c>
      <c r="C12" s="169" t="s">
        <v>216</v>
      </c>
      <c r="D12" s="346">
        <f>C3-2.6</f>
        <v>97.4</v>
      </c>
      <c r="E12" s="330"/>
      <c r="F12" s="13">
        <v>2</v>
      </c>
      <c r="G12" s="354"/>
    </row>
    <row r="13" spans="1:7" ht="15" customHeight="1" x14ac:dyDescent="0.3">
      <c r="A13" s="342"/>
      <c r="B13" s="15" t="s">
        <v>228</v>
      </c>
      <c r="C13" s="78" t="s">
        <v>229</v>
      </c>
      <c r="D13" s="346">
        <f>C3-2.6</f>
        <v>97.4</v>
      </c>
      <c r="E13" s="330"/>
      <c r="F13" s="13">
        <v>1</v>
      </c>
      <c r="G13" s="342"/>
    </row>
    <row r="14" spans="1:7" ht="25.5" customHeight="1" x14ac:dyDescent="0.25">
      <c r="A14" s="349" t="s">
        <v>230</v>
      </c>
      <c r="B14" s="134" t="s">
        <v>180</v>
      </c>
      <c r="C14" s="132" t="s">
        <v>231</v>
      </c>
      <c r="D14" s="346">
        <v>3.4</v>
      </c>
      <c r="E14" s="330"/>
      <c r="F14" s="13">
        <v>8</v>
      </c>
      <c r="G14" s="61">
        <v>90</v>
      </c>
    </row>
    <row r="15" spans="1:7" ht="25.5" customHeight="1" x14ac:dyDescent="0.3">
      <c r="A15" s="354"/>
      <c r="B15" s="134" t="s">
        <v>232</v>
      </c>
      <c r="C15" s="132" t="s">
        <v>233</v>
      </c>
      <c r="D15" s="641">
        <f>C3-2</f>
        <v>98</v>
      </c>
      <c r="E15" s="330"/>
      <c r="F15" s="13">
        <v>2</v>
      </c>
      <c r="G15" s="642">
        <v>45</v>
      </c>
    </row>
    <row r="16" spans="1:7" ht="24.75" customHeight="1" x14ac:dyDescent="0.25">
      <c r="A16" s="342"/>
      <c r="B16" s="134" t="s">
        <v>234</v>
      </c>
      <c r="C16" s="13" t="s">
        <v>233</v>
      </c>
      <c r="D16" s="346">
        <f>C5+1.2</f>
        <v>41.2</v>
      </c>
      <c r="E16" s="330"/>
      <c r="F16" s="13">
        <v>2</v>
      </c>
      <c r="G16" s="342"/>
    </row>
    <row r="17" spans="1:7" ht="25.5" customHeight="1" x14ac:dyDescent="0.25">
      <c r="A17" s="349" t="s">
        <v>181</v>
      </c>
      <c r="B17" s="61" t="s">
        <v>235</v>
      </c>
      <c r="C17" s="612"/>
      <c r="D17" s="346">
        <f>C4-C5-5</f>
        <v>55</v>
      </c>
      <c r="E17" s="330"/>
      <c r="F17" s="13">
        <v>2</v>
      </c>
      <c r="G17" s="61"/>
    </row>
    <row r="18" spans="1:7" ht="15" customHeight="1" x14ac:dyDescent="0.25">
      <c r="A18" s="354"/>
      <c r="B18" s="61" t="s">
        <v>236</v>
      </c>
      <c r="C18" s="354"/>
      <c r="D18" s="346">
        <f>C3-3.2</f>
        <v>96.8</v>
      </c>
      <c r="E18" s="330"/>
      <c r="F18" s="13">
        <v>2</v>
      </c>
      <c r="G18" s="61"/>
    </row>
    <row r="19" spans="1:7" ht="26.4" x14ac:dyDescent="0.25">
      <c r="A19" s="354"/>
      <c r="B19" s="61" t="s">
        <v>237</v>
      </c>
      <c r="C19" s="354"/>
      <c r="D19" s="346">
        <f>D16:E16-7</f>
        <v>34.200000000000003</v>
      </c>
      <c r="E19" s="330"/>
      <c r="F19" s="13">
        <v>2</v>
      </c>
      <c r="G19" s="61"/>
    </row>
    <row r="20" spans="1:7" ht="15" customHeight="1" x14ac:dyDescent="0.25">
      <c r="A20" s="342"/>
      <c r="B20" s="61" t="s">
        <v>238</v>
      </c>
      <c r="C20" s="354"/>
      <c r="D20" s="346">
        <f>D15:E15-6.4</f>
        <v>91.6</v>
      </c>
      <c r="E20" s="330"/>
      <c r="F20" s="13">
        <v>2</v>
      </c>
      <c r="G20" s="61"/>
    </row>
    <row r="21" spans="1:7" ht="15.75" customHeight="1" x14ac:dyDescent="0.25">
      <c r="A21" s="630" t="s">
        <v>184</v>
      </c>
      <c r="B21" s="13"/>
      <c r="C21" s="13" t="s">
        <v>3</v>
      </c>
      <c r="D21" s="628" t="s">
        <v>6</v>
      </c>
      <c r="E21" s="330"/>
      <c r="F21" s="13"/>
      <c r="G21" s="13"/>
    </row>
    <row r="22" spans="1:7" ht="15.75" customHeight="1" x14ac:dyDescent="0.25">
      <c r="A22" s="354"/>
      <c r="B22" s="159" t="s">
        <v>159</v>
      </c>
      <c r="C22" s="162">
        <f>C3-4</f>
        <v>96</v>
      </c>
      <c r="D22" s="629">
        <f>D17:E17-1</f>
        <v>54</v>
      </c>
      <c r="E22" s="330"/>
      <c r="F22" s="159">
        <v>1</v>
      </c>
      <c r="G22" s="363">
        <v>90</v>
      </c>
    </row>
    <row r="23" spans="1:7" ht="15.75" customHeight="1" x14ac:dyDescent="0.25">
      <c r="A23" s="342"/>
      <c r="B23" s="159" t="s">
        <v>230</v>
      </c>
      <c r="C23" s="163">
        <f>C3-10</f>
        <v>90</v>
      </c>
      <c r="D23" s="629">
        <f>D16:E16-8</f>
        <v>33.200000000000003</v>
      </c>
      <c r="E23" s="330"/>
      <c r="F23" s="159">
        <v>1</v>
      </c>
      <c r="G23" s="342"/>
    </row>
    <row r="24" spans="1:7" ht="15.75" customHeight="1" x14ac:dyDescent="0.25">
      <c r="A24" s="139" t="s">
        <v>185</v>
      </c>
      <c r="B24" s="13" t="s">
        <v>186</v>
      </c>
      <c r="C24" s="61"/>
      <c r="D24" s="346"/>
      <c r="E24" s="330"/>
      <c r="F24" s="13">
        <f>(C22*4)+(D22*4)+(C23*4)+(D23*4)</f>
        <v>1092.8</v>
      </c>
      <c r="G24" s="61" t="s">
        <v>43</v>
      </c>
    </row>
    <row r="25" spans="1:7" ht="15.75" customHeight="1" x14ac:dyDescent="0.25">
      <c r="A25" s="374" t="s">
        <v>48</v>
      </c>
      <c r="B25" s="13" t="s">
        <v>187</v>
      </c>
      <c r="C25" s="13" t="s">
        <v>188</v>
      </c>
      <c r="D25" s="333"/>
      <c r="E25" s="330"/>
      <c r="F25" s="13">
        <v>10</v>
      </c>
      <c r="G25" s="13"/>
    </row>
    <row r="26" spans="1:7" ht="15.75" customHeight="1" x14ac:dyDescent="0.25">
      <c r="A26" s="342"/>
      <c r="B26" s="13" t="s">
        <v>187</v>
      </c>
      <c r="C26" s="13" t="s">
        <v>189</v>
      </c>
      <c r="D26" s="333"/>
      <c r="E26" s="330"/>
      <c r="F26" s="13">
        <v>10</v>
      </c>
      <c r="G26" s="13"/>
    </row>
    <row r="27" spans="1:7" ht="15.75" customHeight="1" x14ac:dyDescent="0.25">
      <c r="A27" s="374" t="s">
        <v>190</v>
      </c>
      <c r="B27" s="13" t="s">
        <v>239</v>
      </c>
      <c r="C27" s="13" t="s">
        <v>240</v>
      </c>
      <c r="D27" s="333"/>
      <c r="E27" s="330"/>
      <c r="F27" s="13">
        <v>10</v>
      </c>
      <c r="G27" s="13"/>
    </row>
    <row r="28" spans="1:7" ht="15.75" customHeight="1" x14ac:dyDescent="0.25">
      <c r="A28" s="342"/>
      <c r="B28" s="13" t="s">
        <v>193</v>
      </c>
      <c r="C28" s="13" t="s">
        <v>194</v>
      </c>
      <c r="D28" s="333"/>
      <c r="E28" s="330"/>
      <c r="F28" s="13">
        <v>8</v>
      </c>
      <c r="G28" s="13"/>
    </row>
    <row r="29" spans="1:7" ht="15.75" customHeight="1" x14ac:dyDescent="0.3">
      <c r="A29" s="140" t="s">
        <v>241</v>
      </c>
      <c r="B29" s="13" t="s">
        <v>242</v>
      </c>
      <c r="C29" s="13"/>
      <c r="D29" s="333"/>
      <c r="E29" s="330"/>
      <c r="F29" s="13">
        <v>1</v>
      </c>
      <c r="G29" s="13"/>
    </row>
    <row r="30" spans="1:7" ht="15.75" customHeight="1" x14ac:dyDescent="0.3">
      <c r="A30" s="140" t="s">
        <v>243</v>
      </c>
      <c r="B30" s="13" t="s">
        <v>242</v>
      </c>
      <c r="C30" s="13" t="s">
        <v>244</v>
      </c>
      <c r="D30" s="333"/>
      <c r="E30" s="330"/>
      <c r="F30" s="13">
        <v>2</v>
      </c>
      <c r="G30" s="13"/>
    </row>
    <row r="31" spans="1:7" ht="15.75" customHeight="1" x14ac:dyDescent="0.3">
      <c r="A31" s="141" t="s">
        <v>56</v>
      </c>
      <c r="B31" s="611"/>
      <c r="C31" s="332"/>
      <c r="D31" s="332"/>
      <c r="E31" s="332"/>
      <c r="F31" s="332"/>
      <c r="G31" s="330"/>
    </row>
    <row r="32" spans="1:7" ht="15.75" customHeight="1" x14ac:dyDescent="0.3">
      <c r="A32" s="141" t="s">
        <v>57</v>
      </c>
      <c r="B32" s="611"/>
      <c r="C32" s="332"/>
      <c r="D32" s="332"/>
      <c r="E32" s="332"/>
      <c r="F32" s="332"/>
      <c r="G32" s="330"/>
    </row>
    <row r="33" spans="1:7" ht="15.75" customHeight="1" x14ac:dyDescent="0.3">
      <c r="A33" s="334" t="s">
        <v>58</v>
      </c>
      <c r="B33" s="335"/>
      <c r="C33" s="335"/>
      <c r="D33" s="335"/>
      <c r="E33" s="336"/>
      <c r="F33" s="331"/>
      <c r="G33" s="330"/>
    </row>
    <row r="34" spans="1:7" ht="15.75" customHeight="1" x14ac:dyDescent="0.3">
      <c r="A34" s="337"/>
      <c r="B34" s="338"/>
      <c r="C34" s="338"/>
      <c r="D34" s="338"/>
      <c r="E34" s="339"/>
      <c r="F34" s="331" t="s">
        <v>59</v>
      </c>
      <c r="G34" s="330"/>
    </row>
    <row r="35" spans="1:7" ht="15.75" customHeight="1" x14ac:dyDescent="0.3">
      <c r="A35" s="31"/>
      <c r="B35" s="32"/>
      <c r="C35" s="142"/>
      <c r="D35" s="142"/>
      <c r="E35" s="142"/>
      <c r="F35" s="142"/>
      <c r="G35" s="142"/>
    </row>
    <row r="36" spans="1:7" ht="15.75" customHeight="1" x14ac:dyDescent="0.3">
      <c r="D36" s="56"/>
    </row>
    <row r="37" spans="1:7" ht="15.75" customHeight="1" x14ac:dyDescent="0.3"/>
    <row r="38" spans="1:7" ht="15.75" customHeight="1" x14ac:dyDescent="0.3"/>
    <row r="39" spans="1:7" ht="15.75" customHeight="1" x14ac:dyDescent="0.4">
      <c r="E39" s="328">
        <f>C3</f>
        <v>100</v>
      </c>
      <c r="F39" s="327"/>
    </row>
    <row r="40" spans="1:7" ht="15.75" customHeight="1" x14ac:dyDescent="0.3"/>
    <row r="41" spans="1:7" ht="15.75" customHeight="1" x14ac:dyDescent="0.3">
      <c r="G41" s="56"/>
    </row>
    <row r="42" spans="1:7" ht="15.75" customHeight="1" x14ac:dyDescent="0.3"/>
    <row r="43" spans="1:7" ht="15.75" customHeight="1" x14ac:dyDescent="0.3"/>
    <row r="44" spans="1:7" ht="15.75" customHeight="1" x14ac:dyDescent="0.3"/>
    <row r="45" spans="1:7" ht="15.75" customHeight="1" x14ac:dyDescent="0.3"/>
    <row r="46" spans="1:7" ht="15.75" customHeight="1" x14ac:dyDescent="0.4">
      <c r="B46" s="328">
        <f>C4</f>
        <v>100</v>
      </c>
      <c r="C46" s="327"/>
      <c r="D46" s="327"/>
      <c r="E46" s="327"/>
    </row>
    <row r="47" spans="1:7" ht="15.75" customHeight="1" x14ac:dyDescent="0.3"/>
    <row r="48" spans="1: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</sheetData>
  <mergeCells count="55">
    <mergeCell ref="A5:B5"/>
    <mergeCell ref="D5:F5"/>
    <mergeCell ref="A7:B7"/>
    <mergeCell ref="A6:B6"/>
    <mergeCell ref="A8:B9"/>
    <mergeCell ref="C6:G6"/>
    <mergeCell ref="D8:E9"/>
    <mergeCell ref="C7:G7"/>
    <mergeCell ref="C8:C9"/>
    <mergeCell ref="G8:G9"/>
    <mergeCell ref="F8:F9"/>
    <mergeCell ref="D4:G4"/>
    <mergeCell ref="D3:G3"/>
    <mergeCell ref="A2:G2"/>
    <mergeCell ref="B1:C1"/>
    <mergeCell ref="A4:B4"/>
    <mergeCell ref="A3:B3"/>
    <mergeCell ref="A10:A13"/>
    <mergeCell ref="D13:E13"/>
    <mergeCell ref="D27:E27"/>
    <mergeCell ref="A27:A28"/>
    <mergeCell ref="D28:E28"/>
    <mergeCell ref="D26:E26"/>
    <mergeCell ref="A25:A26"/>
    <mergeCell ref="D20:E20"/>
    <mergeCell ref="D23:E23"/>
    <mergeCell ref="A17:A20"/>
    <mergeCell ref="A21:A23"/>
    <mergeCell ref="A14:A16"/>
    <mergeCell ref="D14:E14"/>
    <mergeCell ref="C17:C20"/>
    <mergeCell ref="D22:E22"/>
    <mergeCell ref="D21:E21"/>
    <mergeCell ref="F33:G33"/>
    <mergeCell ref="F34:G34"/>
    <mergeCell ref="E39:F39"/>
    <mergeCell ref="B46:E46"/>
    <mergeCell ref="D10:E10"/>
    <mergeCell ref="D11:E11"/>
    <mergeCell ref="D29:E29"/>
    <mergeCell ref="B31:G31"/>
    <mergeCell ref="B32:G32"/>
    <mergeCell ref="A33:E34"/>
    <mergeCell ref="D30:E30"/>
    <mergeCell ref="D24:E24"/>
    <mergeCell ref="D25:E25"/>
    <mergeCell ref="G10:G13"/>
    <mergeCell ref="G15:G16"/>
    <mergeCell ref="G22:G23"/>
    <mergeCell ref="D12:E12"/>
    <mergeCell ref="D17:E17"/>
    <mergeCell ref="D19:E19"/>
    <mergeCell ref="D18:E18"/>
    <mergeCell ref="D15:E15"/>
    <mergeCell ref="D16:E16"/>
  </mergeCells>
  <pageMargins left="0.7" right="0.7" top="0.75" bottom="0.75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2"/>
  <sheetViews>
    <sheetView workbookViewId="0"/>
  </sheetViews>
  <sheetFormatPr baseColWidth="10" defaultColWidth="14.44140625" defaultRowHeight="15" customHeight="1" x14ac:dyDescent="0.3"/>
  <cols>
    <col min="1" max="1" width="29" customWidth="1"/>
    <col min="2" max="2" width="20.44140625" customWidth="1"/>
    <col min="3" max="3" width="14.109375" customWidth="1"/>
    <col min="4" max="4" width="7.33203125" customWidth="1"/>
    <col min="5" max="5" width="6.6640625" customWidth="1"/>
    <col min="6" max="6" width="6.33203125" customWidth="1"/>
    <col min="7" max="7" width="11.44140625" customWidth="1"/>
  </cols>
  <sheetData>
    <row r="1" spans="1:7" ht="23.4" x14ac:dyDescent="0.45">
      <c r="A1" s="124" t="s">
        <v>169</v>
      </c>
      <c r="B1" s="622"/>
      <c r="C1" s="332"/>
      <c r="D1" s="145"/>
      <c r="E1" s="145"/>
      <c r="F1" s="145"/>
      <c r="G1" s="145"/>
    </row>
    <row r="2" spans="1:7" ht="21" x14ac:dyDescent="0.4">
      <c r="A2" s="343" t="s">
        <v>245</v>
      </c>
      <c r="B2" s="332"/>
      <c r="C2" s="332"/>
      <c r="D2" s="332"/>
      <c r="E2" s="332"/>
      <c r="F2" s="332"/>
      <c r="G2" s="330"/>
    </row>
    <row r="3" spans="1:7" ht="21" x14ac:dyDescent="0.4">
      <c r="A3" s="345" t="s">
        <v>3</v>
      </c>
      <c r="B3" s="330"/>
      <c r="C3" s="155">
        <v>100</v>
      </c>
      <c r="D3" s="489" t="s">
        <v>4</v>
      </c>
      <c r="E3" s="332"/>
      <c r="F3" s="332"/>
      <c r="G3" s="330"/>
    </row>
    <row r="4" spans="1:7" ht="21" x14ac:dyDescent="0.4">
      <c r="A4" s="347" t="s">
        <v>6</v>
      </c>
      <c r="B4" s="330"/>
      <c r="C4" s="155">
        <v>100</v>
      </c>
      <c r="D4" s="489" t="s">
        <v>4</v>
      </c>
      <c r="E4" s="332"/>
      <c r="F4" s="332"/>
      <c r="G4" s="330"/>
    </row>
    <row r="5" spans="1:7" ht="21" x14ac:dyDescent="0.4">
      <c r="A5" s="347" t="s">
        <v>246</v>
      </c>
      <c r="B5" s="330"/>
      <c r="C5" s="155">
        <v>40</v>
      </c>
      <c r="D5" s="489" t="s">
        <v>4</v>
      </c>
      <c r="E5" s="332"/>
      <c r="F5" s="332"/>
      <c r="G5" s="330"/>
    </row>
    <row r="6" spans="1:7" ht="21" x14ac:dyDescent="0.4">
      <c r="A6" s="347" t="s">
        <v>7</v>
      </c>
      <c r="B6" s="330"/>
      <c r="C6" s="155">
        <v>1</v>
      </c>
      <c r="D6" s="167"/>
      <c r="E6" s="167"/>
      <c r="F6" s="167"/>
      <c r="G6" s="167"/>
    </row>
    <row r="7" spans="1:7" ht="21" x14ac:dyDescent="0.4">
      <c r="A7" s="345" t="s">
        <v>72</v>
      </c>
      <c r="B7" s="330"/>
      <c r="C7" s="489"/>
      <c r="D7" s="332"/>
      <c r="E7" s="332"/>
      <c r="F7" s="332"/>
      <c r="G7" s="330"/>
    </row>
    <row r="8" spans="1:7" ht="21" x14ac:dyDescent="0.4">
      <c r="A8" s="345" t="s">
        <v>200</v>
      </c>
      <c r="B8" s="330"/>
      <c r="C8" s="345"/>
      <c r="D8" s="332"/>
      <c r="E8" s="332"/>
      <c r="F8" s="332"/>
      <c r="G8" s="330"/>
    </row>
    <row r="9" spans="1:7" ht="15" customHeight="1" x14ac:dyDescent="0.3">
      <c r="A9" s="350" t="s">
        <v>10</v>
      </c>
      <c r="B9" s="336"/>
      <c r="C9" s="353" t="s">
        <v>11</v>
      </c>
      <c r="D9" s="616" t="s">
        <v>171</v>
      </c>
      <c r="E9" s="336"/>
      <c r="F9" s="363" t="s">
        <v>13</v>
      </c>
      <c r="G9" s="617" t="s">
        <v>14</v>
      </c>
    </row>
    <row r="10" spans="1:7" ht="14.4" x14ac:dyDescent="0.3">
      <c r="A10" s="337"/>
      <c r="B10" s="339"/>
      <c r="C10" s="342"/>
      <c r="D10" s="337"/>
      <c r="E10" s="339"/>
      <c r="F10" s="342"/>
      <c r="G10" s="342"/>
    </row>
    <row r="11" spans="1:7" ht="14.4" x14ac:dyDescent="0.25">
      <c r="A11" s="643" t="s">
        <v>19</v>
      </c>
      <c r="B11" s="61" t="s">
        <v>20</v>
      </c>
      <c r="C11" s="40" t="s">
        <v>227</v>
      </c>
      <c r="D11" s="346">
        <f>C4</f>
        <v>100</v>
      </c>
      <c r="E11" s="330"/>
      <c r="F11" s="13">
        <v>1</v>
      </c>
      <c r="G11" s="363">
        <v>90</v>
      </c>
    </row>
    <row r="12" spans="1:7" ht="14.4" x14ac:dyDescent="0.25">
      <c r="A12" s="354"/>
      <c r="B12" s="40" t="s">
        <v>23</v>
      </c>
      <c r="C12" s="168" t="s">
        <v>227</v>
      </c>
      <c r="D12" s="346">
        <f>C4</f>
        <v>100</v>
      </c>
      <c r="E12" s="330"/>
      <c r="F12" s="13">
        <v>1</v>
      </c>
      <c r="G12" s="354"/>
    </row>
    <row r="13" spans="1:7" ht="14.4" x14ac:dyDescent="0.25">
      <c r="A13" s="354"/>
      <c r="B13" s="15" t="s">
        <v>26</v>
      </c>
      <c r="C13" s="169" t="s">
        <v>216</v>
      </c>
      <c r="D13" s="346">
        <f>C3-2.6</f>
        <v>97.4</v>
      </c>
      <c r="E13" s="330"/>
      <c r="F13" s="13">
        <v>2</v>
      </c>
      <c r="G13" s="354"/>
    </row>
    <row r="14" spans="1:7" ht="14.4" x14ac:dyDescent="0.3">
      <c r="A14" s="342"/>
      <c r="B14" s="15" t="s">
        <v>228</v>
      </c>
      <c r="C14" s="78" t="s">
        <v>229</v>
      </c>
      <c r="D14" s="346">
        <f>C3-2.6</f>
        <v>97.4</v>
      </c>
      <c r="E14" s="330"/>
      <c r="F14" s="13">
        <v>2</v>
      </c>
      <c r="G14" s="342"/>
    </row>
    <row r="15" spans="1:7" ht="26.4" x14ac:dyDescent="0.25">
      <c r="A15" s="349" t="s">
        <v>230</v>
      </c>
      <c r="B15" s="61" t="s">
        <v>180</v>
      </c>
      <c r="C15" s="132"/>
      <c r="D15" s="346">
        <v>3.4</v>
      </c>
      <c r="E15" s="330"/>
      <c r="F15" s="13">
        <f>C6*8</f>
        <v>8</v>
      </c>
      <c r="G15" s="363">
        <v>90</v>
      </c>
    </row>
    <row r="16" spans="1:7" ht="14.4" x14ac:dyDescent="0.3">
      <c r="A16" s="354"/>
      <c r="B16" s="134" t="s">
        <v>232</v>
      </c>
      <c r="C16" s="132" t="s">
        <v>233</v>
      </c>
      <c r="D16" s="641">
        <f>C3-2</f>
        <v>98</v>
      </c>
      <c r="E16" s="330"/>
      <c r="F16" s="13">
        <f>C6*4</f>
        <v>4</v>
      </c>
      <c r="G16" s="354"/>
    </row>
    <row r="17" spans="1:7" ht="15" customHeight="1" x14ac:dyDescent="0.25">
      <c r="A17" s="342"/>
      <c r="B17" s="134" t="s">
        <v>234</v>
      </c>
      <c r="C17" s="13" t="s">
        <v>233</v>
      </c>
      <c r="D17" s="346">
        <f>C5+1.2</f>
        <v>41.2</v>
      </c>
      <c r="E17" s="330"/>
      <c r="F17" s="13">
        <f>C6*4</f>
        <v>4</v>
      </c>
      <c r="G17" s="342"/>
    </row>
    <row r="18" spans="1:7" ht="14.4" x14ac:dyDescent="0.25">
      <c r="A18" s="349" t="s">
        <v>181</v>
      </c>
      <c r="B18" s="61" t="s">
        <v>235</v>
      </c>
      <c r="C18" s="612"/>
      <c r="D18" s="346">
        <f>C4-(C5*2)-6.8</f>
        <v>13.2</v>
      </c>
      <c r="E18" s="330"/>
      <c r="F18" s="13">
        <f>C6*2</f>
        <v>2</v>
      </c>
      <c r="G18" s="61"/>
    </row>
    <row r="19" spans="1:7" ht="14.4" x14ac:dyDescent="0.25">
      <c r="A19" s="354"/>
      <c r="B19" s="61" t="s">
        <v>247</v>
      </c>
      <c r="C19" s="354"/>
      <c r="D19" s="346">
        <f>C3-3.2</f>
        <v>96.8</v>
      </c>
      <c r="E19" s="330"/>
      <c r="F19" s="13">
        <f>C6*2</f>
        <v>2</v>
      </c>
      <c r="G19" s="61"/>
    </row>
    <row r="20" spans="1:7" ht="26.4" x14ac:dyDescent="0.25">
      <c r="A20" s="354"/>
      <c r="B20" s="61" t="s">
        <v>237</v>
      </c>
      <c r="C20" s="354"/>
      <c r="D20" s="346">
        <f>D17:E17-6</f>
        <v>35.200000000000003</v>
      </c>
      <c r="E20" s="330"/>
      <c r="F20" s="13">
        <f>C6*4</f>
        <v>4</v>
      </c>
      <c r="G20" s="61"/>
    </row>
    <row r="21" spans="1:7" ht="15.75" customHeight="1" x14ac:dyDescent="0.25">
      <c r="A21" s="342"/>
      <c r="B21" s="61" t="s">
        <v>248</v>
      </c>
      <c r="C21" s="354"/>
      <c r="D21" s="346">
        <f>D16:E16-6.4</f>
        <v>91.6</v>
      </c>
      <c r="E21" s="330"/>
      <c r="F21" s="13">
        <f>C6*4</f>
        <v>4</v>
      </c>
      <c r="G21" s="61"/>
    </row>
    <row r="22" spans="1:7" ht="15.75" customHeight="1" x14ac:dyDescent="0.25">
      <c r="A22" s="630" t="s">
        <v>184</v>
      </c>
      <c r="B22" s="13"/>
      <c r="C22" s="13" t="s">
        <v>3</v>
      </c>
      <c r="D22" s="628" t="s">
        <v>6</v>
      </c>
      <c r="E22" s="330"/>
      <c r="F22" s="13"/>
      <c r="G22" s="13"/>
    </row>
    <row r="23" spans="1:7" ht="15.75" customHeight="1" x14ac:dyDescent="0.25">
      <c r="A23" s="354"/>
      <c r="B23" s="159" t="s">
        <v>159</v>
      </c>
      <c r="C23" s="162">
        <f>C3-4</f>
        <v>96</v>
      </c>
      <c r="D23" s="629">
        <f>D18:E18-1</f>
        <v>12.2</v>
      </c>
      <c r="E23" s="330"/>
      <c r="F23" s="159">
        <f>C6*1</f>
        <v>1</v>
      </c>
      <c r="G23" s="363">
        <v>90</v>
      </c>
    </row>
    <row r="24" spans="1:7" ht="15.75" customHeight="1" x14ac:dyDescent="0.25">
      <c r="A24" s="342"/>
      <c r="B24" s="159" t="s">
        <v>230</v>
      </c>
      <c r="C24" s="163">
        <f>C3-10</f>
        <v>90</v>
      </c>
      <c r="D24" s="629">
        <f>D17:E17-8</f>
        <v>33.200000000000003</v>
      </c>
      <c r="E24" s="330"/>
      <c r="F24" s="159">
        <f>C6*2</f>
        <v>2</v>
      </c>
      <c r="G24" s="342"/>
    </row>
    <row r="25" spans="1:7" ht="15.75" customHeight="1" x14ac:dyDescent="0.25">
      <c r="A25" s="139" t="s">
        <v>185</v>
      </c>
      <c r="B25" s="13" t="s">
        <v>186</v>
      </c>
      <c r="C25" s="61"/>
      <c r="D25" s="346"/>
      <c r="E25" s="330"/>
      <c r="F25" s="13">
        <f>(C23*4)+(D23*4)+(C24*8)+(D24*8)</f>
        <v>1418.4</v>
      </c>
      <c r="G25" s="61" t="s">
        <v>43</v>
      </c>
    </row>
    <row r="26" spans="1:7" ht="15.75" customHeight="1" x14ac:dyDescent="0.25">
      <c r="A26" s="374" t="s">
        <v>48</v>
      </c>
      <c r="B26" s="13" t="s">
        <v>187</v>
      </c>
      <c r="C26" s="13" t="s">
        <v>188</v>
      </c>
      <c r="D26" s="333"/>
      <c r="E26" s="330"/>
      <c r="F26" s="13">
        <v>10</v>
      </c>
      <c r="G26" s="13"/>
    </row>
    <row r="27" spans="1:7" ht="15.75" customHeight="1" x14ac:dyDescent="0.25">
      <c r="A27" s="342"/>
      <c r="B27" s="13" t="s">
        <v>187</v>
      </c>
      <c r="C27" s="13" t="s">
        <v>189</v>
      </c>
      <c r="D27" s="333"/>
      <c r="E27" s="330"/>
      <c r="F27" s="13">
        <v>10</v>
      </c>
      <c r="G27" s="13"/>
    </row>
    <row r="28" spans="1:7" ht="15.75" customHeight="1" x14ac:dyDescent="0.25">
      <c r="A28" s="374" t="s">
        <v>190</v>
      </c>
      <c r="B28" s="13" t="s">
        <v>239</v>
      </c>
      <c r="C28" s="13" t="s">
        <v>240</v>
      </c>
      <c r="D28" s="333"/>
      <c r="E28" s="330"/>
      <c r="F28" s="13">
        <v>10</v>
      </c>
      <c r="G28" s="13"/>
    </row>
    <row r="29" spans="1:7" ht="15.75" customHeight="1" x14ac:dyDescent="0.25">
      <c r="A29" s="342"/>
      <c r="B29" s="13" t="s">
        <v>193</v>
      </c>
      <c r="C29" s="13" t="s">
        <v>194</v>
      </c>
      <c r="D29" s="333"/>
      <c r="E29" s="330"/>
      <c r="F29" s="13">
        <v>8</v>
      </c>
      <c r="G29" s="13"/>
    </row>
    <row r="30" spans="1:7" ht="15.75" customHeight="1" x14ac:dyDescent="0.3">
      <c r="A30" s="140" t="s">
        <v>241</v>
      </c>
      <c r="B30" s="13" t="s">
        <v>242</v>
      </c>
      <c r="C30" s="13"/>
      <c r="D30" s="333"/>
      <c r="E30" s="330"/>
      <c r="F30" s="13">
        <v>1</v>
      </c>
      <c r="G30" s="13"/>
    </row>
    <row r="31" spans="1:7" ht="15.75" customHeight="1" x14ac:dyDescent="0.3">
      <c r="A31" s="140" t="s">
        <v>243</v>
      </c>
      <c r="B31" s="13" t="s">
        <v>242</v>
      </c>
      <c r="C31" s="13" t="s">
        <v>244</v>
      </c>
      <c r="D31" s="333"/>
      <c r="E31" s="330"/>
      <c r="F31" s="13">
        <v>2</v>
      </c>
      <c r="G31" s="13"/>
    </row>
    <row r="32" spans="1:7" ht="15.75" customHeight="1" x14ac:dyDescent="0.3">
      <c r="A32" s="141" t="s">
        <v>56</v>
      </c>
      <c r="B32" s="611"/>
      <c r="C32" s="332"/>
      <c r="D32" s="332"/>
      <c r="E32" s="332"/>
      <c r="F32" s="332"/>
      <c r="G32" s="330"/>
    </row>
    <row r="33" spans="1:7" ht="15.75" customHeight="1" x14ac:dyDescent="0.3">
      <c r="A33" s="141" t="s">
        <v>57</v>
      </c>
      <c r="B33" s="611"/>
      <c r="C33" s="332"/>
      <c r="D33" s="332"/>
      <c r="E33" s="332"/>
      <c r="F33" s="332"/>
      <c r="G33" s="330"/>
    </row>
    <row r="34" spans="1:7" ht="15.75" customHeight="1" x14ac:dyDescent="0.3">
      <c r="A34" s="334" t="s">
        <v>58</v>
      </c>
      <c r="B34" s="335"/>
      <c r="C34" s="335"/>
      <c r="D34" s="335"/>
      <c r="E34" s="336"/>
      <c r="F34" s="331"/>
      <c r="G34" s="330"/>
    </row>
    <row r="35" spans="1:7" ht="15.75" customHeight="1" x14ac:dyDescent="0.3">
      <c r="A35" s="337"/>
      <c r="B35" s="338"/>
      <c r="C35" s="338"/>
      <c r="D35" s="338"/>
      <c r="E35" s="339"/>
      <c r="F35" s="331" t="s">
        <v>59</v>
      </c>
      <c r="G35" s="330"/>
    </row>
    <row r="36" spans="1:7" ht="15.75" customHeight="1" x14ac:dyDescent="0.3">
      <c r="A36" s="31"/>
      <c r="B36" s="32"/>
      <c r="C36" s="142"/>
      <c r="D36" s="142"/>
      <c r="E36" s="142"/>
      <c r="F36" s="142"/>
      <c r="G36" s="142"/>
    </row>
    <row r="37" spans="1:7" ht="15.75" customHeight="1" x14ac:dyDescent="0.3">
      <c r="D37" s="56"/>
    </row>
    <row r="38" spans="1:7" ht="15.75" customHeight="1" x14ac:dyDescent="0.3"/>
    <row r="39" spans="1:7" ht="15.75" customHeight="1" x14ac:dyDescent="0.3"/>
    <row r="40" spans="1:7" ht="15.75" customHeight="1" x14ac:dyDescent="0.3"/>
    <row r="41" spans="1:7" ht="15.75" customHeight="1" x14ac:dyDescent="0.4">
      <c r="G41" s="35">
        <f>C3</f>
        <v>100</v>
      </c>
    </row>
    <row r="42" spans="1:7" ht="15.75" customHeight="1" x14ac:dyDescent="0.3"/>
    <row r="43" spans="1:7" ht="15.75" customHeight="1" x14ac:dyDescent="0.3"/>
    <row r="44" spans="1:7" ht="15.75" customHeight="1" x14ac:dyDescent="0.3"/>
    <row r="45" spans="1:7" ht="15.75" customHeight="1" x14ac:dyDescent="0.3"/>
    <row r="46" spans="1:7" ht="15.75" customHeight="1" x14ac:dyDescent="0.3"/>
    <row r="47" spans="1:7" ht="15.75" customHeight="1" x14ac:dyDescent="0.3">
      <c r="D47" s="56"/>
    </row>
    <row r="48" spans="1:7" ht="15.75" customHeight="1" x14ac:dyDescent="0.4">
      <c r="B48" s="328">
        <f>C4</f>
        <v>100</v>
      </c>
      <c r="C48" s="327"/>
      <c r="D48" s="327"/>
      <c r="E48" s="327"/>
      <c r="F48" s="327"/>
    </row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</sheetData>
  <mergeCells count="55">
    <mergeCell ref="B1:C1"/>
    <mergeCell ref="A5:B5"/>
    <mergeCell ref="D5:G5"/>
    <mergeCell ref="D4:G4"/>
    <mergeCell ref="D3:G3"/>
    <mergeCell ref="A2:G2"/>
    <mergeCell ref="A4:B4"/>
    <mergeCell ref="A3:B3"/>
    <mergeCell ref="A15:A17"/>
    <mergeCell ref="A6:B6"/>
    <mergeCell ref="A8:B8"/>
    <mergeCell ref="A7:B7"/>
    <mergeCell ref="A9:B10"/>
    <mergeCell ref="A11:A14"/>
    <mergeCell ref="F9:F10"/>
    <mergeCell ref="G9:G10"/>
    <mergeCell ref="D12:E12"/>
    <mergeCell ref="C7:G7"/>
    <mergeCell ref="D11:E11"/>
    <mergeCell ref="G11:G14"/>
    <mergeCell ref="C9:C10"/>
    <mergeCell ref="C8:G8"/>
    <mergeCell ref="D9:E10"/>
    <mergeCell ref="A34:E35"/>
    <mergeCell ref="F34:G34"/>
    <mergeCell ref="F35:G35"/>
    <mergeCell ref="B48:F48"/>
    <mergeCell ref="A18:A21"/>
    <mergeCell ref="C18:C21"/>
    <mergeCell ref="D28:E28"/>
    <mergeCell ref="D31:E31"/>
    <mergeCell ref="D29:E29"/>
    <mergeCell ref="D30:E30"/>
    <mergeCell ref="A26:A27"/>
    <mergeCell ref="A28:A29"/>
    <mergeCell ref="B33:G33"/>
    <mergeCell ref="B32:G32"/>
    <mergeCell ref="D27:E27"/>
    <mergeCell ref="D26:E26"/>
    <mergeCell ref="G23:G24"/>
    <mergeCell ref="G15:G17"/>
    <mergeCell ref="D21:E21"/>
    <mergeCell ref="D18:E18"/>
    <mergeCell ref="D13:E13"/>
    <mergeCell ref="D14:E14"/>
    <mergeCell ref="D16:E16"/>
    <mergeCell ref="D15:E15"/>
    <mergeCell ref="D17:E17"/>
    <mergeCell ref="D19:E19"/>
    <mergeCell ref="D20:E20"/>
    <mergeCell ref="D25:E25"/>
    <mergeCell ref="A22:A24"/>
    <mergeCell ref="D22:E22"/>
    <mergeCell ref="D24:E24"/>
    <mergeCell ref="D23:E23"/>
  </mergeCells>
  <pageMargins left="0.7" right="0.7" top="0.75" bottom="0.75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workbookViewId="0"/>
  </sheetViews>
  <sheetFormatPr baseColWidth="10" defaultColWidth="14.44140625" defaultRowHeight="15" customHeight="1" x14ac:dyDescent="0.3"/>
  <cols>
    <col min="1" max="1" width="14.44140625" customWidth="1"/>
    <col min="2" max="2" width="18" customWidth="1"/>
    <col min="3" max="3" width="8.5546875" customWidth="1"/>
    <col min="4" max="4" width="16.5546875" customWidth="1"/>
    <col min="5" max="5" width="8.5546875" customWidth="1"/>
    <col min="6" max="6" width="4.5546875" customWidth="1"/>
    <col min="7" max="8" width="8.5546875" customWidth="1"/>
  </cols>
  <sheetData>
    <row r="1" spans="1:8" ht="22.8" x14ac:dyDescent="0.4">
      <c r="A1" s="344"/>
      <c r="B1" s="332"/>
      <c r="C1" s="332"/>
      <c r="D1" s="332"/>
      <c r="E1" s="332"/>
      <c r="F1" s="332"/>
      <c r="G1" s="332"/>
      <c r="H1" s="330"/>
    </row>
    <row r="2" spans="1:8" ht="17.399999999999999" x14ac:dyDescent="0.3">
      <c r="A2" s="488" t="s">
        <v>249</v>
      </c>
      <c r="B2" s="332"/>
      <c r="C2" s="332"/>
      <c r="D2" s="332"/>
      <c r="E2" s="332"/>
      <c r="F2" s="332"/>
      <c r="G2" s="332"/>
      <c r="H2" s="330"/>
    </row>
    <row r="3" spans="1:8" ht="21" x14ac:dyDescent="0.4">
      <c r="A3" s="331" t="s">
        <v>3</v>
      </c>
      <c r="B3" s="332"/>
      <c r="C3" s="330"/>
      <c r="D3" s="644">
        <v>230</v>
      </c>
      <c r="E3" s="332"/>
      <c r="F3" s="345" t="s">
        <v>4</v>
      </c>
      <c r="G3" s="332"/>
      <c r="H3" s="330"/>
    </row>
    <row r="4" spans="1:8" ht="20.25" customHeight="1" x14ac:dyDescent="0.4">
      <c r="A4" s="373" t="s">
        <v>6</v>
      </c>
      <c r="B4" s="332"/>
      <c r="C4" s="330"/>
      <c r="D4" s="644">
        <v>210</v>
      </c>
      <c r="E4" s="332"/>
      <c r="F4" s="345" t="s">
        <v>4</v>
      </c>
      <c r="G4" s="332"/>
      <c r="H4" s="330"/>
    </row>
    <row r="5" spans="1:8" ht="21" x14ac:dyDescent="0.4">
      <c r="A5" s="345" t="s">
        <v>72</v>
      </c>
      <c r="B5" s="330"/>
      <c r="C5" s="345"/>
      <c r="D5" s="332"/>
      <c r="E5" s="332"/>
      <c r="F5" s="332"/>
      <c r="G5" s="332"/>
      <c r="H5" s="330"/>
    </row>
    <row r="6" spans="1:8" ht="21" x14ac:dyDescent="0.4">
      <c r="A6" s="345" t="s">
        <v>9</v>
      </c>
      <c r="B6" s="330"/>
      <c r="C6" s="345"/>
      <c r="D6" s="332"/>
      <c r="E6" s="332"/>
      <c r="F6" s="332"/>
      <c r="G6" s="332"/>
      <c r="H6" s="330"/>
    </row>
    <row r="7" spans="1:8" ht="24" x14ac:dyDescent="0.4">
      <c r="A7" s="373" t="s">
        <v>61</v>
      </c>
      <c r="B7" s="330"/>
      <c r="C7" s="73" t="s">
        <v>11</v>
      </c>
      <c r="D7" s="409" t="s">
        <v>12</v>
      </c>
      <c r="E7" s="332"/>
      <c r="F7" s="330"/>
      <c r="G7" s="74" t="s">
        <v>13</v>
      </c>
      <c r="H7" s="62" t="s">
        <v>84</v>
      </c>
    </row>
    <row r="8" spans="1:8" ht="14.4" x14ac:dyDescent="0.25">
      <c r="A8" s="521" t="s">
        <v>19</v>
      </c>
      <c r="B8" s="13" t="s">
        <v>20</v>
      </c>
      <c r="C8" s="104" t="s">
        <v>250</v>
      </c>
      <c r="D8" s="346">
        <f>D4</f>
        <v>210</v>
      </c>
      <c r="E8" s="332"/>
      <c r="F8" s="330"/>
      <c r="G8" s="61">
        <v>1</v>
      </c>
      <c r="H8" s="13">
        <v>90</v>
      </c>
    </row>
    <row r="9" spans="1:8" ht="14.4" x14ac:dyDescent="0.25">
      <c r="A9" s="354"/>
      <c r="B9" s="13" t="s">
        <v>23</v>
      </c>
      <c r="C9" s="104" t="s">
        <v>251</v>
      </c>
      <c r="D9" s="346">
        <f>D4</f>
        <v>210</v>
      </c>
      <c r="E9" s="332"/>
      <c r="F9" s="330"/>
      <c r="G9" s="13">
        <v>1</v>
      </c>
      <c r="H9" s="13">
        <v>90</v>
      </c>
    </row>
    <row r="10" spans="1:8" ht="14.4" x14ac:dyDescent="0.25">
      <c r="A10" s="342"/>
      <c r="B10" s="13" t="s">
        <v>26</v>
      </c>
      <c r="C10" s="104" t="s">
        <v>252</v>
      </c>
      <c r="D10" s="346">
        <f>D3-1.5</f>
        <v>228.5</v>
      </c>
      <c r="E10" s="332"/>
      <c r="F10" s="330"/>
      <c r="G10" s="13">
        <v>2</v>
      </c>
      <c r="H10" s="13">
        <v>90</v>
      </c>
    </row>
    <row r="11" spans="1:8" ht="14.4" x14ac:dyDescent="0.25">
      <c r="A11" s="375" t="s">
        <v>88</v>
      </c>
      <c r="B11" s="13" t="s">
        <v>253</v>
      </c>
      <c r="C11" s="104" t="s">
        <v>254</v>
      </c>
      <c r="D11" s="346">
        <f>D3-3.5</f>
        <v>226.5</v>
      </c>
      <c r="E11" s="332"/>
      <c r="F11" s="330"/>
      <c r="G11" s="13">
        <v>2</v>
      </c>
      <c r="H11" s="13">
        <v>90</v>
      </c>
    </row>
    <row r="12" spans="1:8" ht="14.4" x14ac:dyDescent="0.25">
      <c r="A12" s="354"/>
      <c r="B12" s="13" t="s">
        <v>255</v>
      </c>
      <c r="C12" s="104" t="s">
        <v>256</v>
      </c>
      <c r="D12" s="346">
        <f>D3-3.5</f>
        <v>226.5</v>
      </c>
      <c r="E12" s="332"/>
      <c r="F12" s="330"/>
      <c r="G12" s="13">
        <v>2</v>
      </c>
      <c r="H12" s="13">
        <v>90</v>
      </c>
    </row>
    <row r="13" spans="1:8" ht="14.4" x14ac:dyDescent="0.25">
      <c r="A13" s="354"/>
      <c r="B13" s="13" t="s">
        <v>257</v>
      </c>
      <c r="C13" s="104" t="s">
        <v>258</v>
      </c>
      <c r="D13" s="346">
        <f>(D4+0.7)/2</f>
        <v>105.35</v>
      </c>
      <c r="E13" s="332"/>
      <c r="F13" s="330"/>
      <c r="G13" s="13">
        <v>4</v>
      </c>
      <c r="H13" s="13">
        <v>90</v>
      </c>
    </row>
    <row r="14" spans="1:8" ht="15" customHeight="1" x14ac:dyDescent="0.3">
      <c r="A14" s="645" t="s">
        <v>39</v>
      </c>
      <c r="B14" s="645" t="s">
        <v>148</v>
      </c>
      <c r="C14" s="362"/>
      <c r="D14" s="646" t="s">
        <v>3</v>
      </c>
      <c r="E14" s="647" t="s">
        <v>41</v>
      </c>
      <c r="F14" s="336"/>
      <c r="G14" s="612"/>
      <c r="H14" s="612"/>
    </row>
    <row r="15" spans="1:8" ht="15" customHeight="1" x14ac:dyDescent="0.3">
      <c r="A15" s="354"/>
      <c r="B15" s="354"/>
      <c r="C15" s="354"/>
      <c r="D15" s="342"/>
      <c r="E15" s="337"/>
      <c r="F15" s="339"/>
      <c r="G15" s="342"/>
      <c r="H15" s="354"/>
    </row>
    <row r="16" spans="1:8" ht="14.4" x14ac:dyDescent="0.25">
      <c r="A16" s="342"/>
      <c r="B16" s="342"/>
      <c r="C16" s="342"/>
      <c r="D16" s="166">
        <f>D11-13.2</f>
        <v>213.3</v>
      </c>
      <c r="E16" s="629">
        <f>D13-11.5</f>
        <v>93.85</v>
      </c>
      <c r="F16" s="330"/>
      <c r="G16" s="159">
        <v>2</v>
      </c>
      <c r="H16" s="342"/>
    </row>
    <row r="17" spans="1:8" ht="14.4" x14ac:dyDescent="0.25">
      <c r="A17" s="77" t="s">
        <v>42</v>
      </c>
      <c r="B17" s="13">
        <v>7038</v>
      </c>
      <c r="C17" s="13"/>
      <c r="D17" s="346"/>
      <c r="E17" s="332"/>
      <c r="F17" s="330"/>
      <c r="G17" s="13">
        <f>(D16*4)+(E16*4)</f>
        <v>1228.5999999999999</v>
      </c>
      <c r="H17" s="13" t="s">
        <v>43</v>
      </c>
    </row>
    <row r="18" spans="1:8" ht="14.4" x14ac:dyDescent="0.25">
      <c r="A18" s="520" t="s">
        <v>44</v>
      </c>
      <c r="B18" s="13" t="s">
        <v>259</v>
      </c>
      <c r="C18" s="13"/>
      <c r="D18" s="333"/>
      <c r="E18" s="332"/>
      <c r="F18" s="330"/>
      <c r="G18" s="13">
        <v>20</v>
      </c>
      <c r="H18" s="13"/>
    </row>
    <row r="19" spans="1:8" ht="14.4" x14ac:dyDescent="0.25">
      <c r="A19" s="354"/>
      <c r="B19" s="13" t="s">
        <v>259</v>
      </c>
      <c r="C19" s="13"/>
      <c r="D19" s="333"/>
      <c r="E19" s="332"/>
      <c r="F19" s="330"/>
      <c r="G19" s="13">
        <v>6</v>
      </c>
      <c r="H19" s="13"/>
    </row>
    <row r="20" spans="1:8" ht="14.4" x14ac:dyDescent="0.25">
      <c r="A20" s="342"/>
      <c r="B20" s="13" t="s">
        <v>260</v>
      </c>
      <c r="C20" s="13"/>
      <c r="D20" s="333"/>
      <c r="E20" s="332"/>
      <c r="F20" s="330"/>
      <c r="G20" s="13">
        <v>10</v>
      </c>
      <c r="H20" s="13"/>
    </row>
    <row r="21" spans="1:8" ht="15.75" customHeight="1" x14ac:dyDescent="0.25">
      <c r="A21" s="77" t="s">
        <v>70</v>
      </c>
      <c r="B21" s="26" t="s">
        <v>223</v>
      </c>
      <c r="C21" s="13"/>
      <c r="D21" s="333"/>
      <c r="E21" s="332"/>
      <c r="F21" s="330"/>
      <c r="G21" s="13">
        <v>10</v>
      </c>
      <c r="H21" s="13"/>
    </row>
    <row r="22" spans="1:8" ht="15.75" customHeight="1" x14ac:dyDescent="0.25">
      <c r="A22" s="79" t="s">
        <v>50</v>
      </c>
      <c r="B22" s="13">
        <v>7038</v>
      </c>
      <c r="C22" s="13"/>
      <c r="D22" s="333"/>
      <c r="E22" s="332"/>
      <c r="F22" s="330"/>
      <c r="G22" s="13">
        <v>2</v>
      </c>
      <c r="H22" s="13"/>
    </row>
    <row r="23" spans="1:8" ht="15.75" customHeight="1" x14ac:dyDescent="0.25">
      <c r="A23" s="520" t="s">
        <v>53</v>
      </c>
      <c r="B23" s="13" t="s">
        <v>261</v>
      </c>
      <c r="C23" s="13"/>
      <c r="D23" s="333"/>
      <c r="E23" s="332"/>
      <c r="F23" s="330"/>
      <c r="G23" s="13">
        <v>4</v>
      </c>
      <c r="H23" s="13"/>
    </row>
    <row r="24" spans="1:8" ht="15.75" customHeight="1" x14ac:dyDescent="0.25">
      <c r="A24" s="342"/>
      <c r="B24" s="13" t="s">
        <v>262</v>
      </c>
      <c r="C24" s="13"/>
      <c r="D24" s="333"/>
      <c r="E24" s="332"/>
      <c r="F24" s="330"/>
      <c r="G24" s="13">
        <v>4</v>
      </c>
      <c r="H24" s="13"/>
    </row>
    <row r="25" spans="1:8" ht="15.75" customHeight="1" x14ac:dyDescent="0.25">
      <c r="A25" s="74" t="s">
        <v>241</v>
      </c>
      <c r="B25" s="13" t="s">
        <v>263</v>
      </c>
      <c r="C25" s="13"/>
      <c r="D25" s="333"/>
      <c r="E25" s="332"/>
      <c r="F25" s="330"/>
      <c r="G25" s="13">
        <v>1</v>
      </c>
      <c r="H25" s="13"/>
    </row>
    <row r="26" spans="1:8" ht="15.75" customHeight="1" x14ac:dyDescent="0.25">
      <c r="A26" s="77" t="s">
        <v>54</v>
      </c>
      <c r="B26" s="13" t="s">
        <v>264</v>
      </c>
      <c r="C26" s="13"/>
      <c r="D26" s="333"/>
      <c r="E26" s="332"/>
      <c r="F26" s="330"/>
      <c r="G26" s="13">
        <v>1</v>
      </c>
      <c r="H26" s="13"/>
    </row>
    <row r="27" spans="1:8" ht="15.75" customHeight="1" x14ac:dyDescent="0.3">
      <c r="A27" s="331" t="s">
        <v>56</v>
      </c>
      <c r="B27" s="330"/>
      <c r="C27" s="331"/>
      <c r="D27" s="332"/>
      <c r="E27" s="332"/>
      <c r="F27" s="332"/>
      <c r="G27" s="332"/>
      <c r="H27" s="330"/>
    </row>
    <row r="28" spans="1:8" ht="15.75" customHeight="1" x14ac:dyDescent="0.3">
      <c r="A28" s="331" t="s">
        <v>57</v>
      </c>
      <c r="B28" s="330"/>
      <c r="C28" s="331"/>
      <c r="D28" s="332"/>
      <c r="E28" s="332"/>
      <c r="F28" s="332"/>
      <c r="G28" s="332"/>
      <c r="H28" s="330"/>
    </row>
    <row r="29" spans="1:8" ht="18" customHeight="1" x14ac:dyDescent="0.3">
      <c r="A29" s="334" t="s">
        <v>58</v>
      </c>
      <c r="B29" s="335"/>
      <c r="C29" s="335"/>
      <c r="D29" s="335"/>
      <c r="E29" s="336"/>
      <c r="F29" s="334"/>
      <c r="G29" s="335"/>
      <c r="H29" s="336"/>
    </row>
    <row r="30" spans="1:8" ht="15" customHeight="1" x14ac:dyDescent="0.3">
      <c r="A30" s="624"/>
      <c r="B30" s="327"/>
      <c r="C30" s="327"/>
      <c r="D30" s="327"/>
      <c r="E30" s="361"/>
      <c r="F30" s="337"/>
      <c r="G30" s="338"/>
      <c r="H30" s="339"/>
    </row>
    <row r="31" spans="1:8" ht="15.75" customHeight="1" x14ac:dyDescent="0.3">
      <c r="A31" s="337"/>
      <c r="B31" s="338"/>
      <c r="C31" s="338"/>
      <c r="D31" s="338"/>
      <c r="E31" s="339"/>
      <c r="F31" s="331" t="s">
        <v>59</v>
      </c>
      <c r="G31" s="332"/>
      <c r="H31" s="330"/>
    </row>
    <row r="32" spans="1:8" ht="15.75" customHeight="1" x14ac:dyDescent="0.35">
      <c r="A32" s="80"/>
      <c r="B32" s="71"/>
      <c r="C32" s="71"/>
      <c r="D32" s="71"/>
      <c r="E32" s="71"/>
      <c r="F32" s="71"/>
      <c r="G32" s="71"/>
      <c r="H32" s="81"/>
    </row>
    <row r="33" spans="1:8" ht="15.75" customHeight="1" x14ac:dyDescent="0.35">
      <c r="A33" s="80"/>
      <c r="B33" s="71"/>
      <c r="C33" s="82"/>
      <c r="D33" s="71"/>
      <c r="E33" s="71"/>
      <c r="F33" s="71"/>
      <c r="G33" s="71"/>
      <c r="H33" s="81"/>
    </row>
    <row r="34" spans="1:8" ht="15.75" customHeight="1" x14ac:dyDescent="0.35">
      <c r="A34" s="80"/>
      <c r="B34" s="71"/>
      <c r="C34" s="71"/>
      <c r="D34" s="71"/>
      <c r="E34" s="71"/>
      <c r="F34" s="71"/>
      <c r="G34" s="83"/>
      <c r="H34" s="81"/>
    </row>
    <row r="35" spans="1:8" ht="15.75" customHeight="1" x14ac:dyDescent="0.35">
      <c r="A35" s="80"/>
      <c r="B35" s="71"/>
      <c r="C35" s="71"/>
      <c r="D35" s="71"/>
      <c r="E35" s="71"/>
      <c r="F35" s="71"/>
      <c r="G35" s="84"/>
      <c r="H35" s="81"/>
    </row>
    <row r="36" spans="1:8" ht="15.75" customHeight="1" x14ac:dyDescent="0.35">
      <c r="A36" s="80"/>
      <c r="B36" s="71"/>
      <c r="C36" s="71"/>
      <c r="D36" s="71"/>
      <c r="E36" s="483">
        <f>D3</f>
        <v>230</v>
      </c>
      <c r="F36" s="327"/>
      <c r="G36" s="327"/>
      <c r="H36" s="81"/>
    </row>
    <row r="37" spans="1:8" ht="15.75" customHeight="1" x14ac:dyDescent="0.35">
      <c r="A37" s="80"/>
      <c r="B37" s="71"/>
      <c r="C37" s="71"/>
      <c r="D37" s="71"/>
      <c r="E37" s="71"/>
      <c r="F37" s="71"/>
      <c r="G37" s="84"/>
      <c r="H37" s="81"/>
    </row>
    <row r="38" spans="1:8" ht="15.75" customHeight="1" x14ac:dyDescent="0.35">
      <c r="A38" s="80"/>
      <c r="B38" s="71"/>
      <c r="C38" s="71"/>
      <c r="D38" s="71"/>
      <c r="E38" s="71"/>
      <c r="F38" s="71"/>
      <c r="G38" s="84"/>
      <c r="H38" s="81"/>
    </row>
    <row r="39" spans="1:8" ht="15.75" customHeight="1" x14ac:dyDescent="0.35">
      <c r="A39" s="80"/>
      <c r="B39" s="71"/>
      <c r="C39" s="71"/>
      <c r="D39" s="71"/>
      <c r="E39" s="71"/>
      <c r="F39" s="71"/>
      <c r="G39" s="84"/>
      <c r="H39" s="81"/>
    </row>
    <row r="40" spans="1:8" ht="15.75" customHeight="1" x14ac:dyDescent="0.35">
      <c r="A40" s="80"/>
      <c r="B40" s="71"/>
      <c r="C40" s="71"/>
      <c r="D40" s="71"/>
      <c r="E40" s="71"/>
      <c r="F40" s="71"/>
      <c r="G40" s="84"/>
      <c r="H40" s="81"/>
    </row>
    <row r="41" spans="1:8" ht="15.75" customHeight="1" x14ac:dyDescent="0.35">
      <c r="A41" s="80"/>
      <c r="B41" s="71"/>
      <c r="C41" s="483">
        <f>D4</f>
        <v>210</v>
      </c>
      <c r="D41" s="327"/>
      <c r="E41" s="327"/>
      <c r="F41" s="71"/>
      <c r="G41" s="84"/>
      <c r="H41" s="81"/>
    </row>
    <row r="42" spans="1:8" ht="15.75" customHeight="1" x14ac:dyDescent="0.35">
      <c r="A42" s="80"/>
      <c r="B42" s="71"/>
      <c r="C42" s="82"/>
      <c r="D42" s="71"/>
      <c r="E42" s="71"/>
      <c r="F42" s="71"/>
      <c r="G42" s="71"/>
      <c r="H42" s="81"/>
    </row>
    <row r="43" spans="1:8" ht="15.75" customHeight="1" x14ac:dyDescent="0.35">
      <c r="A43" s="80"/>
      <c r="C43" s="71"/>
      <c r="D43" s="71"/>
      <c r="E43" s="71"/>
      <c r="F43" s="71"/>
      <c r="G43" s="71"/>
      <c r="H43" s="81"/>
    </row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51">
    <mergeCell ref="A8:A10"/>
    <mergeCell ref="C14:C16"/>
    <mergeCell ref="E36:G36"/>
    <mergeCell ref="C41:E41"/>
    <mergeCell ref="D25:F25"/>
    <mergeCell ref="D26:F26"/>
    <mergeCell ref="A18:A20"/>
    <mergeCell ref="A23:A24"/>
    <mergeCell ref="D23:F23"/>
    <mergeCell ref="D24:F24"/>
    <mergeCell ref="D21:F21"/>
    <mergeCell ref="D20:F20"/>
    <mergeCell ref="D19:F19"/>
    <mergeCell ref="D18:F18"/>
    <mergeCell ref="F31:H31"/>
    <mergeCell ref="D22:F22"/>
    <mergeCell ref="A27:B27"/>
    <mergeCell ref="C27:H27"/>
    <mergeCell ref="D13:F13"/>
    <mergeCell ref="A29:E31"/>
    <mergeCell ref="A28:B28"/>
    <mergeCell ref="C28:H28"/>
    <mergeCell ref="H14:H16"/>
    <mergeCell ref="G14:G15"/>
    <mergeCell ref="A14:A16"/>
    <mergeCell ref="B14:B16"/>
    <mergeCell ref="A11:A13"/>
    <mergeCell ref="F29:H30"/>
    <mergeCell ref="D14:D15"/>
    <mergeCell ref="D17:F17"/>
    <mergeCell ref="E16:F16"/>
    <mergeCell ref="E14:F15"/>
    <mergeCell ref="D9:F9"/>
    <mergeCell ref="D8:F8"/>
    <mergeCell ref="D10:F10"/>
    <mergeCell ref="D12:F12"/>
    <mergeCell ref="D11:F11"/>
    <mergeCell ref="A1:H1"/>
    <mergeCell ref="C5:H5"/>
    <mergeCell ref="C6:H6"/>
    <mergeCell ref="A5:B5"/>
    <mergeCell ref="F3:H3"/>
    <mergeCell ref="A3:C3"/>
    <mergeCell ref="A4:C4"/>
    <mergeCell ref="D4:E4"/>
    <mergeCell ref="D3:E3"/>
    <mergeCell ref="A7:B7"/>
    <mergeCell ref="D7:F7"/>
    <mergeCell ref="F4:H4"/>
    <mergeCell ref="A6:B6"/>
    <mergeCell ref="A2:H2"/>
  </mergeCells>
  <pageMargins left="0.7" right="0.7" top="0.75" bottom="0.75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workbookViewId="0"/>
  </sheetViews>
  <sheetFormatPr baseColWidth="10" defaultColWidth="14.44140625" defaultRowHeight="15" customHeight="1" x14ac:dyDescent="0.3"/>
  <cols>
    <col min="1" max="1" width="14.5546875" customWidth="1"/>
    <col min="2" max="2" width="19.6640625" customWidth="1"/>
    <col min="3" max="3" width="8.5546875" customWidth="1"/>
    <col min="4" max="4" width="17.109375" customWidth="1"/>
    <col min="5" max="5" width="8.5546875" customWidth="1"/>
    <col min="6" max="6" width="1.88671875" customWidth="1"/>
    <col min="7" max="8" width="8.5546875" customWidth="1"/>
  </cols>
  <sheetData>
    <row r="1" spans="1:8" ht="22.8" x14ac:dyDescent="0.4">
      <c r="A1" s="344"/>
      <c r="B1" s="332"/>
      <c r="C1" s="332"/>
      <c r="D1" s="332"/>
      <c r="E1" s="332"/>
      <c r="F1" s="332"/>
      <c r="G1" s="332"/>
      <c r="H1" s="330"/>
    </row>
    <row r="2" spans="1:8" ht="17.399999999999999" x14ac:dyDescent="0.3">
      <c r="A2" s="649" t="s">
        <v>265</v>
      </c>
      <c r="B2" s="510"/>
      <c r="C2" s="510"/>
      <c r="D2" s="510"/>
      <c r="E2" s="510"/>
      <c r="F2" s="510"/>
      <c r="G2" s="510"/>
      <c r="H2" s="511"/>
    </row>
    <row r="3" spans="1:8" ht="21" x14ac:dyDescent="0.4">
      <c r="A3" s="331" t="s">
        <v>3</v>
      </c>
      <c r="B3" s="332"/>
      <c r="C3" s="330"/>
      <c r="D3" s="170">
        <v>230</v>
      </c>
      <c r="E3" s="489" t="s">
        <v>4</v>
      </c>
      <c r="F3" s="332"/>
      <c r="G3" s="332"/>
      <c r="H3" s="330"/>
    </row>
    <row r="4" spans="1:8" ht="20.25" customHeight="1" x14ac:dyDescent="0.4">
      <c r="A4" s="373" t="s">
        <v>6</v>
      </c>
      <c r="B4" s="332"/>
      <c r="C4" s="330"/>
      <c r="D4" s="170">
        <v>360</v>
      </c>
      <c r="E4" s="489" t="s">
        <v>4</v>
      </c>
      <c r="F4" s="332"/>
      <c r="G4" s="332"/>
      <c r="H4" s="330"/>
    </row>
    <row r="5" spans="1:8" ht="21" x14ac:dyDescent="0.4">
      <c r="A5" s="345" t="s">
        <v>72</v>
      </c>
      <c r="B5" s="330"/>
      <c r="C5" s="345"/>
      <c r="D5" s="332"/>
      <c r="E5" s="332"/>
      <c r="F5" s="332"/>
      <c r="G5" s="332"/>
      <c r="H5" s="330"/>
    </row>
    <row r="6" spans="1:8" ht="21" x14ac:dyDescent="0.4">
      <c r="A6" s="345" t="s">
        <v>9</v>
      </c>
      <c r="B6" s="330"/>
      <c r="C6" s="345"/>
      <c r="D6" s="332"/>
      <c r="E6" s="332"/>
      <c r="F6" s="332"/>
      <c r="G6" s="332"/>
      <c r="H6" s="330"/>
    </row>
    <row r="7" spans="1:8" ht="24" x14ac:dyDescent="0.3">
      <c r="A7" s="373" t="s">
        <v>61</v>
      </c>
      <c r="B7" s="330"/>
      <c r="C7" s="60" t="s">
        <v>11</v>
      </c>
      <c r="D7" s="409" t="s">
        <v>12</v>
      </c>
      <c r="E7" s="332"/>
      <c r="F7" s="330"/>
      <c r="G7" s="90" t="s">
        <v>13</v>
      </c>
      <c r="H7" s="62" t="s">
        <v>107</v>
      </c>
    </row>
    <row r="8" spans="1:8" ht="14.4" x14ac:dyDescent="0.25">
      <c r="A8" s="362" t="s">
        <v>19</v>
      </c>
      <c r="B8" s="13" t="s">
        <v>20</v>
      </c>
      <c r="C8" s="104" t="s">
        <v>250</v>
      </c>
      <c r="D8" s="346">
        <f>D4</f>
        <v>360</v>
      </c>
      <c r="E8" s="332"/>
      <c r="F8" s="330"/>
      <c r="G8" s="13">
        <v>1</v>
      </c>
      <c r="H8" s="13">
        <v>90</v>
      </c>
    </row>
    <row r="9" spans="1:8" ht="14.4" x14ac:dyDescent="0.25">
      <c r="A9" s="354"/>
      <c r="B9" s="13" t="s">
        <v>23</v>
      </c>
      <c r="C9" s="104" t="s">
        <v>251</v>
      </c>
      <c r="D9" s="346">
        <f>D4</f>
        <v>360</v>
      </c>
      <c r="E9" s="332"/>
      <c r="F9" s="330"/>
      <c r="G9" s="13">
        <v>1</v>
      </c>
      <c r="H9" s="13">
        <v>90</v>
      </c>
    </row>
    <row r="10" spans="1:8" ht="14.4" x14ac:dyDescent="0.25">
      <c r="A10" s="342"/>
      <c r="B10" s="13" t="s">
        <v>26</v>
      </c>
      <c r="C10" s="104" t="s">
        <v>252</v>
      </c>
      <c r="D10" s="346">
        <f>D3-1.5</f>
        <v>228.5</v>
      </c>
      <c r="E10" s="332"/>
      <c r="F10" s="330"/>
      <c r="G10" s="13">
        <v>2</v>
      </c>
      <c r="H10" s="13">
        <v>90</v>
      </c>
    </row>
    <row r="11" spans="1:8" ht="14.4" x14ac:dyDescent="0.25">
      <c r="A11" s="481" t="s">
        <v>66</v>
      </c>
      <c r="B11" s="13" t="s">
        <v>253</v>
      </c>
      <c r="C11" s="104" t="s">
        <v>254</v>
      </c>
      <c r="D11" s="346">
        <f>D3-0.4</f>
        <v>229.6</v>
      </c>
      <c r="E11" s="332"/>
      <c r="F11" s="330"/>
      <c r="G11" s="13">
        <v>1</v>
      </c>
      <c r="H11" s="13">
        <v>90</v>
      </c>
    </row>
    <row r="12" spans="1:8" ht="14.4" x14ac:dyDescent="0.25">
      <c r="A12" s="354"/>
      <c r="B12" s="13" t="s">
        <v>255</v>
      </c>
      <c r="C12" s="104" t="s">
        <v>256</v>
      </c>
      <c r="D12" s="346">
        <f>D11</f>
        <v>229.6</v>
      </c>
      <c r="E12" s="332"/>
      <c r="F12" s="330"/>
      <c r="G12" s="13">
        <v>1</v>
      </c>
      <c r="H12" s="13">
        <v>90</v>
      </c>
    </row>
    <row r="13" spans="1:8" ht="14.4" x14ac:dyDescent="0.25">
      <c r="A13" s="354"/>
      <c r="B13" s="13" t="s">
        <v>93</v>
      </c>
      <c r="C13" s="104" t="s">
        <v>258</v>
      </c>
      <c r="D13" s="346">
        <f>(D4+7.2)/3</f>
        <v>122.39999999999999</v>
      </c>
      <c r="E13" s="332"/>
      <c r="F13" s="330"/>
      <c r="G13" s="13">
        <v>1</v>
      </c>
      <c r="H13" s="13">
        <v>90</v>
      </c>
    </row>
    <row r="14" spans="1:8" ht="14.4" x14ac:dyDescent="0.25">
      <c r="A14" s="342"/>
      <c r="B14" s="13" t="s">
        <v>95</v>
      </c>
      <c r="C14" s="104" t="s">
        <v>258</v>
      </c>
      <c r="D14" s="346">
        <f>D13</f>
        <v>122.39999999999999</v>
      </c>
      <c r="E14" s="332"/>
      <c r="F14" s="330"/>
      <c r="G14" s="13">
        <v>1</v>
      </c>
      <c r="H14" s="13">
        <v>90</v>
      </c>
    </row>
    <row r="15" spans="1:8" ht="14.4" x14ac:dyDescent="0.25">
      <c r="A15" s="481" t="s">
        <v>108</v>
      </c>
      <c r="B15" s="13" t="s">
        <v>253</v>
      </c>
      <c r="C15" s="104" t="s">
        <v>254</v>
      </c>
      <c r="D15" s="346">
        <f>D3-3.5</f>
        <v>226.5</v>
      </c>
      <c r="E15" s="332"/>
      <c r="F15" s="330"/>
      <c r="G15" s="13">
        <v>3</v>
      </c>
      <c r="H15" s="13">
        <v>90</v>
      </c>
    </row>
    <row r="16" spans="1:8" ht="14.4" x14ac:dyDescent="0.25">
      <c r="A16" s="354"/>
      <c r="B16" s="13" t="s">
        <v>255</v>
      </c>
      <c r="C16" s="104" t="s">
        <v>256</v>
      </c>
      <c r="D16" s="346">
        <f>D3-3.5</f>
        <v>226.5</v>
      </c>
      <c r="E16" s="332"/>
      <c r="F16" s="330"/>
      <c r="G16" s="13">
        <v>1</v>
      </c>
      <c r="H16" s="13">
        <v>90</v>
      </c>
    </row>
    <row r="17" spans="1:8" ht="14.4" x14ac:dyDescent="0.25">
      <c r="A17" s="354"/>
      <c r="B17" s="13" t="s">
        <v>93</v>
      </c>
      <c r="C17" s="104" t="s">
        <v>258</v>
      </c>
      <c r="D17" s="346">
        <f>(D4+7.2)/3</f>
        <v>122.39999999999999</v>
      </c>
      <c r="E17" s="332"/>
      <c r="F17" s="330"/>
      <c r="G17" s="13">
        <v>2</v>
      </c>
      <c r="H17" s="13">
        <v>90</v>
      </c>
    </row>
    <row r="18" spans="1:8" ht="14.4" x14ac:dyDescent="0.25">
      <c r="A18" s="354"/>
      <c r="B18" s="13" t="s">
        <v>266</v>
      </c>
      <c r="C18" s="104" t="s">
        <v>258</v>
      </c>
      <c r="D18" s="346">
        <f>D17</f>
        <v>122.39999999999999</v>
      </c>
      <c r="E18" s="332"/>
      <c r="F18" s="330"/>
      <c r="G18" s="13">
        <v>2</v>
      </c>
      <c r="H18" s="13">
        <v>90</v>
      </c>
    </row>
    <row r="19" spans="1:8" ht="14.4" x14ac:dyDescent="0.25">
      <c r="A19" s="354"/>
      <c r="B19" s="132" t="s">
        <v>109</v>
      </c>
      <c r="C19" s="13"/>
      <c r="D19" s="346">
        <f>D14</f>
        <v>122.39999999999999</v>
      </c>
      <c r="E19" s="332"/>
      <c r="F19" s="330"/>
      <c r="G19" s="13">
        <v>1</v>
      </c>
      <c r="H19" s="13">
        <v>90</v>
      </c>
    </row>
    <row r="20" spans="1:8" ht="14.4" x14ac:dyDescent="0.3">
      <c r="A20" s="648" t="s">
        <v>39</v>
      </c>
      <c r="B20" s="645" t="s">
        <v>148</v>
      </c>
      <c r="C20" s="362"/>
      <c r="D20" s="646" t="s">
        <v>3</v>
      </c>
      <c r="E20" s="647" t="s">
        <v>41</v>
      </c>
      <c r="F20" s="336"/>
      <c r="G20" s="612"/>
      <c r="H20" s="612"/>
    </row>
    <row r="21" spans="1:8" ht="15.75" customHeight="1" x14ac:dyDescent="0.3">
      <c r="A21" s="354"/>
      <c r="B21" s="342"/>
      <c r="C21" s="342"/>
      <c r="D21" s="342"/>
      <c r="E21" s="337"/>
      <c r="F21" s="339"/>
      <c r="G21" s="342"/>
      <c r="H21" s="342"/>
    </row>
    <row r="22" spans="1:8" ht="15.75" customHeight="1" x14ac:dyDescent="0.25">
      <c r="A22" s="354"/>
      <c r="B22" s="171" t="s">
        <v>113</v>
      </c>
      <c r="C22" s="172"/>
      <c r="D22" s="166">
        <f>D11-13.5</f>
        <v>216.1</v>
      </c>
      <c r="E22" s="629">
        <f>D13-11.3</f>
        <v>111.1</v>
      </c>
      <c r="F22" s="330"/>
      <c r="G22" s="13">
        <v>1</v>
      </c>
      <c r="H22" s="13"/>
    </row>
    <row r="23" spans="1:8" ht="15.75" customHeight="1" x14ac:dyDescent="0.25">
      <c r="A23" s="354"/>
      <c r="B23" s="171" t="s">
        <v>114</v>
      </c>
      <c r="C23" s="172"/>
      <c r="D23" s="166">
        <f>D15-13.5</f>
        <v>213</v>
      </c>
      <c r="E23" s="629">
        <f>D17-11.3</f>
        <v>111.1</v>
      </c>
      <c r="F23" s="330"/>
      <c r="G23" s="13">
        <v>1</v>
      </c>
      <c r="H23" s="13"/>
    </row>
    <row r="24" spans="1:8" ht="15.75" customHeight="1" x14ac:dyDescent="0.25">
      <c r="A24" s="342"/>
      <c r="B24" s="171" t="s">
        <v>115</v>
      </c>
      <c r="C24" s="173"/>
      <c r="D24" s="166">
        <f>D15-13.5</f>
        <v>213</v>
      </c>
      <c r="E24" s="629">
        <f>D17-11.3</f>
        <v>111.1</v>
      </c>
      <c r="F24" s="330"/>
      <c r="G24" s="13">
        <v>1</v>
      </c>
      <c r="H24" s="13"/>
    </row>
    <row r="25" spans="1:8" ht="15.75" customHeight="1" x14ac:dyDescent="0.25">
      <c r="A25" s="13" t="s">
        <v>42</v>
      </c>
      <c r="B25" s="13">
        <v>7038</v>
      </c>
      <c r="C25" s="13"/>
      <c r="D25" s="346"/>
      <c r="E25" s="332"/>
      <c r="F25" s="330"/>
      <c r="G25" s="13">
        <f>(D22*6)+(E22*6)</f>
        <v>1963.1999999999998</v>
      </c>
      <c r="H25" s="13" t="s">
        <v>43</v>
      </c>
    </row>
    <row r="26" spans="1:8" ht="15.75" customHeight="1" x14ac:dyDescent="0.25">
      <c r="A26" s="481" t="s">
        <v>44</v>
      </c>
      <c r="B26" s="13" t="s">
        <v>267</v>
      </c>
      <c r="C26" s="13"/>
      <c r="D26" s="333"/>
      <c r="E26" s="332"/>
      <c r="F26" s="330"/>
      <c r="G26" s="13">
        <v>16</v>
      </c>
      <c r="H26" s="13"/>
    </row>
    <row r="27" spans="1:8" ht="15.75" customHeight="1" x14ac:dyDescent="0.25">
      <c r="A27" s="354"/>
      <c r="B27" s="13" t="s">
        <v>267</v>
      </c>
      <c r="C27" s="13"/>
      <c r="D27" s="333"/>
      <c r="E27" s="332"/>
      <c r="F27" s="330"/>
      <c r="G27" s="13">
        <v>10</v>
      </c>
      <c r="H27" s="13"/>
    </row>
    <row r="28" spans="1:8" ht="15.75" customHeight="1" x14ac:dyDescent="0.25">
      <c r="A28" s="342"/>
      <c r="B28" s="13" t="s">
        <v>100</v>
      </c>
      <c r="C28" s="13"/>
      <c r="D28" s="333"/>
      <c r="E28" s="332"/>
      <c r="F28" s="330"/>
      <c r="G28" s="13">
        <v>6</v>
      </c>
      <c r="H28" s="13"/>
    </row>
    <row r="29" spans="1:8" ht="15.75" customHeight="1" x14ac:dyDescent="0.25">
      <c r="A29" s="13" t="s">
        <v>70</v>
      </c>
      <c r="B29" s="13" t="s">
        <v>101</v>
      </c>
      <c r="C29" s="13"/>
      <c r="D29" s="333"/>
      <c r="E29" s="332"/>
      <c r="F29" s="330"/>
      <c r="G29" s="13">
        <v>10</v>
      </c>
      <c r="H29" s="13"/>
    </row>
    <row r="30" spans="1:8" ht="15.75" customHeight="1" x14ac:dyDescent="0.25">
      <c r="A30" s="15" t="s">
        <v>80</v>
      </c>
      <c r="B30" s="13">
        <v>7038</v>
      </c>
      <c r="C30" s="13"/>
      <c r="D30" s="333"/>
      <c r="E30" s="332"/>
      <c r="F30" s="330"/>
      <c r="G30" s="13">
        <v>4</v>
      </c>
      <c r="H30" s="13"/>
    </row>
    <row r="31" spans="1:8" ht="15.75" customHeight="1" x14ac:dyDescent="0.25">
      <c r="A31" s="481" t="s">
        <v>53</v>
      </c>
      <c r="B31" s="13" t="s">
        <v>261</v>
      </c>
      <c r="C31" s="13"/>
      <c r="D31" s="333"/>
      <c r="E31" s="332"/>
      <c r="F31" s="330"/>
      <c r="G31" s="13">
        <v>4</v>
      </c>
      <c r="H31" s="13"/>
    </row>
    <row r="32" spans="1:8" ht="15.75" customHeight="1" x14ac:dyDescent="0.25">
      <c r="A32" s="342"/>
      <c r="B32" s="13" t="s">
        <v>262</v>
      </c>
      <c r="C32" s="13"/>
      <c r="D32" s="333"/>
      <c r="E32" s="332"/>
      <c r="F32" s="330"/>
      <c r="G32" s="13">
        <v>4</v>
      </c>
      <c r="H32" s="13"/>
    </row>
    <row r="33" spans="1:8" ht="15.75" customHeight="1" x14ac:dyDescent="0.25">
      <c r="A33" s="90" t="s">
        <v>241</v>
      </c>
      <c r="B33" s="13" t="s">
        <v>263</v>
      </c>
      <c r="C33" s="13"/>
      <c r="D33" s="22"/>
      <c r="E33" s="25"/>
      <c r="F33" s="24"/>
      <c r="G33" s="13">
        <v>1</v>
      </c>
      <c r="H33" s="13"/>
    </row>
    <row r="34" spans="1:8" ht="15.75" customHeight="1" x14ac:dyDescent="0.25">
      <c r="A34" s="13" t="s">
        <v>54</v>
      </c>
      <c r="B34" s="13" t="s">
        <v>264</v>
      </c>
      <c r="C34" s="13"/>
      <c r="D34" s="333"/>
      <c r="E34" s="332"/>
      <c r="F34" s="330"/>
      <c r="G34" s="13">
        <v>1</v>
      </c>
      <c r="H34" s="13"/>
    </row>
    <row r="35" spans="1:8" ht="15.75" customHeight="1" x14ac:dyDescent="0.3">
      <c r="A35" s="331" t="s">
        <v>56</v>
      </c>
      <c r="B35" s="330"/>
      <c r="C35" s="331"/>
      <c r="D35" s="332"/>
      <c r="E35" s="332"/>
      <c r="F35" s="332"/>
      <c r="G35" s="332"/>
      <c r="H35" s="330"/>
    </row>
    <row r="36" spans="1:8" ht="15.75" customHeight="1" x14ac:dyDescent="0.3">
      <c r="A36" s="331" t="s">
        <v>57</v>
      </c>
      <c r="B36" s="330"/>
      <c r="C36" s="331"/>
      <c r="D36" s="332"/>
      <c r="E36" s="332"/>
      <c r="F36" s="332"/>
      <c r="G36" s="332"/>
      <c r="H36" s="330"/>
    </row>
    <row r="37" spans="1:8" ht="18" customHeight="1" x14ac:dyDescent="0.3">
      <c r="A37" s="334" t="s">
        <v>58</v>
      </c>
      <c r="B37" s="335"/>
      <c r="C37" s="335"/>
      <c r="D37" s="335"/>
      <c r="E37" s="336"/>
      <c r="F37" s="334" t="s">
        <v>59</v>
      </c>
      <c r="G37" s="335"/>
      <c r="H37" s="336"/>
    </row>
    <row r="38" spans="1:8" ht="18.75" customHeight="1" x14ac:dyDescent="0.3">
      <c r="A38" s="337"/>
      <c r="B38" s="338"/>
      <c r="C38" s="338"/>
      <c r="D38" s="338"/>
      <c r="E38" s="339"/>
      <c r="F38" s="337"/>
      <c r="G38" s="338"/>
      <c r="H38" s="339"/>
    </row>
    <row r="39" spans="1:8" ht="15.75" customHeight="1" x14ac:dyDescent="0.35">
      <c r="A39" s="80"/>
      <c r="B39" s="81"/>
      <c r="C39" s="484"/>
      <c r="D39" s="327"/>
      <c r="E39" s="327"/>
      <c r="F39" s="327"/>
      <c r="G39" s="71"/>
      <c r="H39" s="81"/>
    </row>
    <row r="40" spans="1:8" ht="15.75" customHeight="1" x14ac:dyDescent="0.35">
      <c r="A40" s="80"/>
      <c r="B40" s="81"/>
      <c r="C40" s="71"/>
      <c r="D40" s="71"/>
      <c r="E40" s="71"/>
      <c r="F40" s="71"/>
      <c r="G40" s="71"/>
      <c r="H40" s="81"/>
    </row>
    <row r="41" spans="1:8" ht="15.75" customHeight="1" x14ac:dyDescent="0.35">
      <c r="A41" s="80"/>
      <c r="B41" s="81"/>
      <c r="C41" s="71"/>
      <c r="D41" s="71"/>
      <c r="E41" s="71"/>
      <c r="F41" s="71"/>
      <c r="G41" s="71"/>
      <c r="H41" s="81"/>
    </row>
    <row r="42" spans="1:8" ht="15.75" customHeight="1" x14ac:dyDescent="0.35">
      <c r="A42" s="80"/>
      <c r="B42" s="81"/>
      <c r="C42" s="71"/>
      <c r="D42" s="71"/>
      <c r="E42" s="71"/>
      <c r="F42" s="71"/>
      <c r="G42" s="82"/>
      <c r="H42" s="81"/>
    </row>
    <row r="43" spans="1:8" ht="15.75" customHeight="1" x14ac:dyDescent="0.35">
      <c r="A43" s="80"/>
      <c r="B43" s="81"/>
      <c r="C43" s="71"/>
      <c r="D43" s="71"/>
      <c r="E43" s="71"/>
      <c r="F43" s="71"/>
      <c r="G43" s="71"/>
      <c r="H43" s="85">
        <f>D3</f>
        <v>230</v>
      </c>
    </row>
    <row r="44" spans="1:8" ht="15.75" customHeight="1" x14ac:dyDescent="0.35">
      <c r="A44" s="80"/>
      <c r="B44" s="81"/>
      <c r="C44" s="71"/>
      <c r="D44" s="71"/>
      <c r="E44" s="71"/>
      <c r="F44" s="71"/>
      <c r="G44" s="71"/>
      <c r="H44" s="81"/>
    </row>
    <row r="45" spans="1:8" ht="15.75" customHeight="1" x14ac:dyDescent="0.35">
      <c r="A45" s="80"/>
      <c r="B45" s="81"/>
      <c r="C45" s="484"/>
      <c r="D45" s="327"/>
      <c r="E45" s="327"/>
      <c r="F45" s="327"/>
      <c r="G45" s="71"/>
      <c r="H45" s="81"/>
    </row>
    <row r="46" spans="1:8" ht="15.75" customHeight="1" x14ac:dyDescent="0.35">
      <c r="A46" s="80"/>
      <c r="B46" s="81"/>
      <c r="C46" s="81"/>
      <c r="D46" s="81"/>
      <c r="E46" s="71"/>
      <c r="G46" s="71"/>
      <c r="H46" s="81"/>
    </row>
    <row r="47" spans="1:8" ht="15.75" customHeight="1" x14ac:dyDescent="0.3"/>
    <row r="48" spans="1:8" ht="15.75" customHeight="1" x14ac:dyDescent="0.3"/>
    <row r="49" spans="3:8" ht="15.75" customHeight="1" x14ac:dyDescent="0.3"/>
    <row r="50" spans="3:8" ht="15" customHeight="1" x14ac:dyDescent="0.4">
      <c r="C50" s="328">
        <f>D4</f>
        <v>360</v>
      </c>
      <c r="D50" s="327"/>
      <c r="E50" s="327"/>
      <c r="F50" s="327"/>
      <c r="G50" s="327"/>
      <c r="H50" s="327"/>
    </row>
    <row r="51" spans="3:8" ht="15.75" customHeight="1" x14ac:dyDescent="0.3"/>
    <row r="52" spans="3:8" ht="15.75" customHeight="1" x14ac:dyDescent="0.3"/>
    <row r="53" spans="3:8" ht="15.75" customHeight="1" x14ac:dyDescent="0.3"/>
    <row r="54" spans="3:8" ht="15.75" customHeight="1" x14ac:dyDescent="0.3"/>
    <row r="55" spans="3:8" ht="15.75" customHeight="1" x14ac:dyDescent="0.3"/>
    <row r="56" spans="3:8" ht="15.75" customHeight="1" x14ac:dyDescent="0.3"/>
    <row r="57" spans="3:8" ht="15.75" customHeight="1" x14ac:dyDescent="0.3"/>
    <row r="58" spans="3:8" ht="15.75" customHeight="1" x14ac:dyDescent="0.3"/>
    <row r="59" spans="3:8" ht="15.75" customHeight="1" x14ac:dyDescent="0.3"/>
    <row r="60" spans="3:8" ht="15.75" customHeight="1" x14ac:dyDescent="0.3"/>
    <row r="61" spans="3:8" ht="15.75" customHeight="1" x14ac:dyDescent="0.3"/>
    <row r="62" spans="3:8" ht="15.75" customHeight="1" x14ac:dyDescent="0.3"/>
    <row r="63" spans="3:8" ht="15.75" customHeight="1" x14ac:dyDescent="0.3"/>
    <row r="64" spans="3:8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57">
    <mergeCell ref="D18:F18"/>
    <mergeCell ref="D19:F19"/>
    <mergeCell ref="D30:F30"/>
    <mergeCell ref="D28:F28"/>
    <mergeCell ref="D29:F29"/>
    <mergeCell ref="H20:H21"/>
    <mergeCell ref="G20:G21"/>
    <mergeCell ref="E20:F21"/>
    <mergeCell ref="D20:D21"/>
    <mergeCell ref="C20:C21"/>
    <mergeCell ref="A1:H1"/>
    <mergeCell ref="A2:H2"/>
    <mergeCell ref="C6:H6"/>
    <mergeCell ref="C5:H5"/>
    <mergeCell ref="A7:B7"/>
    <mergeCell ref="E3:H3"/>
    <mergeCell ref="E4:H4"/>
    <mergeCell ref="A4:C4"/>
    <mergeCell ref="A3:C3"/>
    <mergeCell ref="C35:H35"/>
    <mergeCell ref="A35:B35"/>
    <mergeCell ref="D34:F34"/>
    <mergeCell ref="D31:F31"/>
    <mergeCell ref="D32:F32"/>
    <mergeCell ref="C45:F45"/>
    <mergeCell ref="C50:H50"/>
    <mergeCell ref="C36:H36"/>
    <mergeCell ref="C39:F39"/>
    <mergeCell ref="F37:H38"/>
    <mergeCell ref="A37:E38"/>
    <mergeCell ref="A36:B36"/>
    <mergeCell ref="A11:A14"/>
    <mergeCell ref="D27:F27"/>
    <mergeCell ref="D26:F26"/>
    <mergeCell ref="A31:A32"/>
    <mergeCell ref="A26:A28"/>
    <mergeCell ref="D25:F25"/>
    <mergeCell ref="A15:A19"/>
    <mergeCell ref="D13:F13"/>
    <mergeCell ref="D12:F12"/>
    <mergeCell ref="D17:F17"/>
    <mergeCell ref="D16:F16"/>
    <mergeCell ref="E23:F23"/>
    <mergeCell ref="E22:F22"/>
    <mergeCell ref="B20:B21"/>
    <mergeCell ref="A20:A24"/>
    <mergeCell ref="E24:F24"/>
    <mergeCell ref="A8:A10"/>
    <mergeCell ref="A5:B5"/>
    <mergeCell ref="A6:B6"/>
    <mergeCell ref="D8:F8"/>
    <mergeCell ref="D9:F9"/>
    <mergeCell ref="D15:F15"/>
    <mergeCell ref="D14:F14"/>
    <mergeCell ref="D11:F11"/>
    <mergeCell ref="D10:F10"/>
    <mergeCell ref="D7:F7"/>
  </mergeCells>
  <pageMargins left="0.7" right="0.7" top="0.75" bottom="0.75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workbookViewId="0"/>
  </sheetViews>
  <sheetFormatPr baseColWidth="10" defaultColWidth="14.44140625" defaultRowHeight="15" customHeight="1" x14ac:dyDescent="0.3"/>
  <cols>
    <col min="1" max="1" width="17" customWidth="1"/>
    <col min="2" max="2" width="18.33203125" customWidth="1"/>
    <col min="3" max="3" width="10.33203125" customWidth="1"/>
    <col min="4" max="4" width="12.33203125" customWidth="1"/>
    <col min="5" max="5" width="7.5546875" customWidth="1"/>
    <col min="6" max="6" width="6.33203125" customWidth="1"/>
    <col min="7" max="7" width="10.88671875" customWidth="1"/>
    <col min="8" max="8" width="10.33203125" customWidth="1"/>
  </cols>
  <sheetData>
    <row r="1" spans="1:8" ht="22.8" x14ac:dyDescent="0.4">
      <c r="A1" s="509"/>
      <c r="B1" s="510"/>
      <c r="C1" s="510"/>
      <c r="D1" s="510"/>
      <c r="E1" s="510"/>
      <c r="F1" s="510"/>
      <c r="G1" s="510"/>
      <c r="H1" s="511"/>
    </row>
    <row r="2" spans="1:8" ht="22.8" x14ac:dyDescent="0.4">
      <c r="A2" s="516" t="s">
        <v>268</v>
      </c>
      <c r="B2" s="332"/>
      <c r="C2" s="332"/>
      <c r="D2" s="332"/>
      <c r="E2" s="332"/>
      <c r="F2" s="332"/>
      <c r="G2" s="332"/>
      <c r="H2" s="330"/>
    </row>
    <row r="3" spans="1:8" ht="17.399999999999999" x14ac:dyDescent="0.3">
      <c r="A3" s="513" t="s">
        <v>3</v>
      </c>
      <c r="B3" s="332"/>
      <c r="C3" s="330"/>
      <c r="D3" s="170">
        <v>280.60000000000002</v>
      </c>
      <c r="E3" s="517" t="s">
        <v>129</v>
      </c>
      <c r="F3" s="332"/>
      <c r="G3" s="332"/>
      <c r="H3" s="330"/>
    </row>
    <row r="4" spans="1:8" ht="18" customHeight="1" x14ac:dyDescent="0.3">
      <c r="A4" s="508" t="s">
        <v>6</v>
      </c>
      <c r="B4" s="332"/>
      <c r="C4" s="330"/>
      <c r="D4" s="170">
        <v>400</v>
      </c>
      <c r="E4" s="517" t="s">
        <v>129</v>
      </c>
      <c r="F4" s="332"/>
      <c r="G4" s="332"/>
      <c r="H4" s="330"/>
    </row>
    <row r="5" spans="1:8" ht="21" x14ac:dyDescent="0.4">
      <c r="A5" s="503" t="s">
        <v>72</v>
      </c>
      <c r="B5" s="330"/>
      <c r="C5" s="504"/>
      <c r="D5" s="332"/>
      <c r="E5" s="332"/>
      <c r="F5" s="332"/>
      <c r="G5" s="332"/>
      <c r="H5" s="330"/>
    </row>
    <row r="6" spans="1:8" ht="21" x14ac:dyDescent="0.4">
      <c r="A6" s="503" t="s">
        <v>9</v>
      </c>
      <c r="B6" s="330"/>
      <c r="C6" s="504"/>
      <c r="D6" s="332"/>
      <c r="E6" s="332"/>
      <c r="F6" s="332"/>
      <c r="G6" s="332"/>
      <c r="H6" s="330"/>
    </row>
    <row r="7" spans="1:8" ht="27.6" x14ac:dyDescent="0.3">
      <c r="A7" s="508" t="s">
        <v>61</v>
      </c>
      <c r="B7" s="330"/>
      <c r="C7" s="101" t="s">
        <v>11</v>
      </c>
      <c r="D7" s="518" t="s">
        <v>12</v>
      </c>
      <c r="E7" s="332"/>
      <c r="F7" s="330"/>
      <c r="G7" s="102" t="s">
        <v>130</v>
      </c>
      <c r="H7" s="103" t="s">
        <v>84</v>
      </c>
    </row>
    <row r="8" spans="1:8" ht="14.4" x14ac:dyDescent="0.25">
      <c r="A8" s="507" t="s">
        <v>19</v>
      </c>
      <c r="B8" s="104" t="s">
        <v>20</v>
      </c>
      <c r="C8" s="104" t="s">
        <v>250</v>
      </c>
      <c r="D8" s="492">
        <f>D4</f>
        <v>400</v>
      </c>
      <c r="E8" s="332"/>
      <c r="F8" s="330"/>
      <c r="G8" s="104">
        <v>1</v>
      </c>
      <c r="H8" s="104">
        <v>90</v>
      </c>
    </row>
    <row r="9" spans="1:8" ht="14.4" x14ac:dyDescent="0.25">
      <c r="A9" s="500"/>
      <c r="B9" s="104" t="s">
        <v>23</v>
      </c>
      <c r="C9" s="104" t="s">
        <v>251</v>
      </c>
      <c r="D9" s="492">
        <f>D4</f>
        <v>400</v>
      </c>
      <c r="E9" s="332"/>
      <c r="F9" s="330"/>
      <c r="G9" s="104">
        <v>1</v>
      </c>
      <c r="H9" s="104">
        <v>90</v>
      </c>
    </row>
    <row r="10" spans="1:8" ht="14.4" x14ac:dyDescent="0.25">
      <c r="A10" s="501"/>
      <c r="B10" s="104" t="s">
        <v>26</v>
      </c>
      <c r="C10" s="104" t="s">
        <v>252</v>
      </c>
      <c r="D10" s="492">
        <f>D3-1.2</f>
        <v>279.40000000000003</v>
      </c>
      <c r="E10" s="332"/>
      <c r="F10" s="330"/>
      <c r="G10" s="104">
        <v>2</v>
      </c>
      <c r="H10" s="104">
        <v>90</v>
      </c>
    </row>
    <row r="11" spans="1:8" ht="14.4" x14ac:dyDescent="0.25">
      <c r="A11" s="499" t="s">
        <v>29</v>
      </c>
      <c r="B11" s="104" t="s">
        <v>253</v>
      </c>
      <c r="C11" s="104" t="s">
        <v>254</v>
      </c>
      <c r="D11" s="492">
        <f>D3-3.5</f>
        <v>277.10000000000002</v>
      </c>
      <c r="E11" s="332"/>
      <c r="F11" s="330"/>
      <c r="G11" s="104">
        <v>4</v>
      </c>
      <c r="H11" s="104">
        <v>90</v>
      </c>
    </row>
    <row r="12" spans="1:8" ht="14.4" x14ac:dyDescent="0.25">
      <c r="A12" s="500"/>
      <c r="B12" s="104" t="s">
        <v>255</v>
      </c>
      <c r="C12" s="104" t="s">
        <v>256</v>
      </c>
      <c r="D12" s="492">
        <f>D3-3.5</f>
        <v>277.10000000000002</v>
      </c>
      <c r="E12" s="332"/>
      <c r="F12" s="330"/>
      <c r="G12" s="104">
        <v>4</v>
      </c>
      <c r="H12" s="104">
        <v>90</v>
      </c>
    </row>
    <row r="13" spans="1:8" ht="14.4" x14ac:dyDescent="0.25">
      <c r="A13" s="500"/>
      <c r="B13" s="104" t="s">
        <v>36</v>
      </c>
      <c r="C13" s="104" t="s">
        <v>258</v>
      </c>
      <c r="D13" s="492">
        <f>(D4+6.3)/4</f>
        <v>101.575</v>
      </c>
      <c r="E13" s="332"/>
      <c r="F13" s="330"/>
      <c r="G13" s="104">
        <v>8</v>
      </c>
      <c r="H13" s="104">
        <v>90</v>
      </c>
    </row>
    <row r="14" spans="1:8" ht="14.4" x14ac:dyDescent="0.25">
      <c r="A14" s="501"/>
      <c r="B14" s="104" t="s">
        <v>176</v>
      </c>
      <c r="C14" s="104" t="s">
        <v>269</v>
      </c>
      <c r="D14" s="492">
        <f>D11</f>
        <v>277.10000000000002</v>
      </c>
      <c r="E14" s="332"/>
      <c r="F14" s="330"/>
      <c r="G14" s="104">
        <v>1</v>
      </c>
      <c r="H14" s="104">
        <v>90</v>
      </c>
    </row>
    <row r="15" spans="1:8" ht="15" customHeight="1" x14ac:dyDescent="0.3">
      <c r="A15" s="654" t="s">
        <v>39</v>
      </c>
      <c r="B15" s="653" t="s">
        <v>270</v>
      </c>
      <c r="C15" s="655"/>
      <c r="D15" s="652" t="s">
        <v>3</v>
      </c>
      <c r="E15" s="650" t="s">
        <v>41</v>
      </c>
      <c r="F15" s="336"/>
      <c r="G15" s="651"/>
      <c r="H15" s="651"/>
    </row>
    <row r="16" spans="1:8" ht="15" customHeight="1" x14ac:dyDescent="0.3">
      <c r="A16" s="500"/>
      <c r="B16" s="354"/>
      <c r="C16" s="354"/>
      <c r="D16" s="342"/>
      <c r="E16" s="337"/>
      <c r="F16" s="339"/>
      <c r="G16" s="342"/>
      <c r="H16" s="342"/>
    </row>
    <row r="17" spans="1:8" ht="14.4" x14ac:dyDescent="0.25">
      <c r="A17" s="501"/>
      <c r="B17" s="342"/>
      <c r="C17" s="342"/>
      <c r="D17" s="166">
        <f>D11-13.2</f>
        <v>263.90000000000003</v>
      </c>
      <c r="E17" s="629">
        <f>D13-11.5</f>
        <v>90.075000000000003</v>
      </c>
      <c r="F17" s="330"/>
      <c r="G17" s="159">
        <v>4</v>
      </c>
      <c r="H17" s="104"/>
    </row>
    <row r="18" spans="1:8" ht="15.6" x14ac:dyDescent="0.3">
      <c r="A18" s="107" t="s">
        <v>42</v>
      </c>
      <c r="B18" s="104">
        <v>7038</v>
      </c>
      <c r="C18" s="104"/>
      <c r="D18" s="494"/>
      <c r="E18" s="332"/>
      <c r="F18" s="330"/>
      <c r="G18" s="104">
        <f>(D17*8)+(E17*8)</f>
        <v>2831.8</v>
      </c>
      <c r="H18" s="104" t="s">
        <v>43</v>
      </c>
    </row>
    <row r="19" spans="1:8" ht="14.4" x14ac:dyDescent="0.25">
      <c r="A19" s="499" t="s">
        <v>44</v>
      </c>
      <c r="B19" s="104" t="s">
        <v>271</v>
      </c>
      <c r="C19" s="104"/>
      <c r="D19" s="493"/>
      <c r="E19" s="332"/>
      <c r="F19" s="330"/>
      <c r="G19" s="104">
        <v>36</v>
      </c>
      <c r="H19" s="104"/>
    </row>
    <row r="20" spans="1:8" ht="14.4" x14ac:dyDescent="0.25">
      <c r="A20" s="500"/>
      <c r="B20" s="104" t="s">
        <v>271</v>
      </c>
      <c r="C20" s="104"/>
      <c r="D20" s="493"/>
      <c r="E20" s="332"/>
      <c r="F20" s="330"/>
      <c r="G20" s="104">
        <v>10</v>
      </c>
      <c r="H20" s="104"/>
    </row>
    <row r="21" spans="1:8" ht="15.75" customHeight="1" x14ac:dyDescent="0.25">
      <c r="A21" s="501"/>
      <c r="B21" s="104" t="s">
        <v>272</v>
      </c>
      <c r="C21" s="104"/>
      <c r="D21" s="493"/>
      <c r="E21" s="332"/>
      <c r="F21" s="330"/>
      <c r="G21" s="104">
        <v>12</v>
      </c>
      <c r="H21" s="104"/>
    </row>
    <row r="22" spans="1:8" ht="15.75" customHeight="1" x14ac:dyDescent="0.3">
      <c r="A22" s="107" t="s">
        <v>70</v>
      </c>
      <c r="B22" s="104" t="s">
        <v>101</v>
      </c>
      <c r="C22" s="104"/>
      <c r="D22" s="493"/>
      <c r="E22" s="332"/>
      <c r="F22" s="330"/>
      <c r="G22" s="104">
        <v>12</v>
      </c>
      <c r="H22" s="104"/>
    </row>
    <row r="23" spans="1:8" ht="15.75" customHeight="1" x14ac:dyDescent="0.25">
      <c r="A23" s="109" t="s">
        <v>80</v>
      </c>
      <c r="B23" s="104">
        <v>7038</v>
      </c>
      <c r="C23" s="104"/>
      <c r="D23" s="493"/>
      <c r="E23" s="332"/>
      <c r="F23" s="330"/>
      <c r="G23" s="104">
        <v>4</v>
      </c>
      <c r="H23" s="104"/>
    </row>
    <row r="24" spans="1:8" ht="15.75" customHeight="1" x14ac:dyDescent="0.25">
      <c r="A24" s="499" t="s">
        <v>53</v>
      </c>
      <c r="B24" s="104" t="s">
        <v>261</v>
      </c>
      <c r="C24" s="104"/>
      <c r="D24" s="493"/>
      <c r="E24" s="332"/>
      <c r="F24" s="330"/>
      <c r="G24" s="104">
        <v>4</v>
      </c>
      <c r="H24" s="104"/>
    </row>
    <row r="25" spans="1:8" ht="15.75" customHeight="1" x14ac:dyDescent="0.25">
      <c r="A25" s="501"/>
      <c r="B25" s="104" t="s">
        <v>262</v>
      </c>
      <c r="C25" s="104"/>
      <c r="D25" s="493"/>
      <c r="E25" s="332"/>
      <c r="F25" s="330"/>
      <c r="G25" s="104">
        <v>4</v>
      </c>
      <c r="H25" s="104"/>
    </row>
    <row r="26" spans="1:8" ht="15.75" customHeight="1" x14ac:dyDescent="0.25">
      <c r="A26" s="174" t="s">
        <v>241</v>
      </c>
      <c r="B26" s="104" t="s">
        <v>263</v>
      </c>
      <c r="C26" s="104"/>
      <c r="D26" s="493"/>
      <c r="E26" s="332"/>
      <c r="F26" s="330"/>
      <c r="G26" s="104">
        <v>2</v>
      </c>
      <c r="H26" s="104"/>
    </row>
    <row r="27" spans="1:8" ht="15.75" customHeight="1" x14ac:dyDescent="0.3">
      <c r="A27" s="107" t="s">
        <v>54</v>
      </c>
      <c r="B27" s="104" t="s">
        <v>273</v>
      </c>
      <c r="C27" s="104"/>
      <c r="D27" s="493"/>
      <c r="E27" s="332"/>
      <c r="F27" s="330"/>
      <c r="G27" s="104">
        <v>1</v>
      </c>
      <c r="H27" s="104"/>
    </row>
    <row r="28" spans="1:8" ht="15.75" customHeight="1" x14ac:dyDescent="0.3">
      <c r="A28" s="513" t="s">
        <v>56</v>
      </c>
      <c r="B28" s="330"/>
      <c r="C28" s="491"/>
      <c r="D28" s="332"/>
      <c r="E28" s="332"/>
      <c r="F28" s="332"/>
      <c r="G28" s="332"/>
      <c r="H28" s="330"/>
    </row>
    <row r="29" spans="1:8" ht="15.75" customHeight="1" x14ac:dyDescent="0.3">
      <c r="A29" s="513" t="s">
        <v>57</v>
      </c>
      <c r="B29" s="330"/>
      <c r="C29" s="491"/>
      <c r="D29" s="332"/>
      <c r="E29" s="332"/>
      <c r="F29" s="332"/>
      <c r="G29" s="332"/>
      <c r="H29" s="330"/>
    </row>
    <row r="30" spans="1:8" ht="18" customHeight="1" x14ac:dyDescent="0.3">
      <c r="A30" s="525" t="s">
        <v>58</v>
      </c>
      <c r="B30" s="335"/>
      <c r="C30" s="335"/>
      <c r="D30" s="335"/>
      <c r="E30" s="336"/>
      <c r="F30" s="656"/>
      <c r="G30" s="335"/>
      <c r="H30" s="336"/>
    </row>
    <row r="31" spans="1:8" ht="15" customHeight="1" x14ac:dyDescent="0.3">
      <c r="A31" s="327"/>
      <c r="B31" s="327"/>
      <c r="C31" s="327"/>
      <c r="D31" s="327"/>
      <c r="E31" s="361"/>
      <c r="F31" s="337"/>
      <c r="G31" s="338"/>
      <c r="H31" s="339"/>
    </row>
    <row r="32" spans="1:8" ht="15.75" customHeight="1" x14ac:dyDescent="0.3">
      <c r="A32" s="338"/>
      <c r="B32" s="338"/>
      <c r="C32" s="338"/>
      <c r="D32" s="338"/>
      <c r="E32" s="339"/>
      <c r="F32" s="491" t="s">
        <v>59</v>
      </c>
      <c r="G32" s="332"/>
      <c r="H32" s="330"/>
    </row>
    <row r="33" spans="1:8" ht="15.75" customHeight="1" x14ac:dyDescent="0.3">
      <c r="A33" s="55"/>
      <c r="B33" s="55"/>
      <c r="C33" s="490"/>
      <c r="D33" s="327"/>
      <c r="E33" s="327"/>
      <c r="F33" s="327"/>
      <c r="G33" s="327"/>
      <c r="H33" s="112"/>
    </row>
    <row r="34" spans="1:8" ht="15.75" customHeight="1" x14ac:dyDescent="0.4">
      <c r="A34" s="70"/>
      <c r="B34" s="56"/>
      <c r="C34" s="112"/>
      <c r="D34" s="2"/>
      <c r="E34" s="32"/>
      <c r="F34" s="32"/>
      <c r="G34" s="112"/>
      <c r="H34" s="122"/>
    </row>
    <row r="35" spans="1:8" ht="15.75" customHeight="1" x14ac:dyDescent="0.4">
      <c r="A35" s="70"/>
      <c r="B35" s="32"/>
      <c r="C35" s="32"/>
      <c r="D35" s="32"/>
      <c r="E35" s="32"/>
      <c r="F35" s="32"/>
      <c r="G35" s="112"/>
      <c r="H35" s="122"/>
    </row>
    <row r="36" spans="1:8" ht="15.75" customHeight="1" x14ac:dyDescent="0.4">
      <c r="A36" s="70"/>
      <c r="B36" s="32"/>
      <c r="C36" s="32"/>
      <c r="D36" s="32"/>
      <c r="E36" s="32"/>
      <c r="F36" s="32"/>
      <c r="G36" s="112"/>
      <c r="H36" s="122"/>
    </row>
    <row r="37" spans="1:8" ht="15.75" customHeight="1" x14ac:dyDescent="0.4">
      <c r="A37" s="70"/>
      <c r="B37" s="32"/>
      <c r="C37" s="32"/>
      <c r="D37" s="32"/>
      <c r="E37" s="32"/>
      <c r="F37" s="32"/>
      <c r="G37" s="96"/>
      <c r="H37" s="122"/>
    </row>
    <row r="38" spans="1:8" ht="15.75" customHeight="1" x14ac:dyDescent="0.4">
      <c r="A38" s="70"/>
      <c r="B38" s="32"/>
      <c r="C38" s="32"/>
      <c r="D38" s="32"/>
      <c r="E38" s="33"/>
      <c r="F38" s="32"/>
      <c r="G38" s="626">
        <f>D3</f>
        <v>280.60000000000002</v>
      </c>
      <c r="H38" s="327"/>
    </row>
    <row r="39" spans="1:8" ht="15.75" customHeight="1" x14ac:dyDescent="0.4">
      <c r="A39" s="70"/>
      <c r="B39" s="32"/>
      <c r="C39" s="372"/>
      <c r="D39" s="327"/>
      <c r="E39" s="327"/>
      <c r="F39" s="327"/>
      <c r="G39" s="327"/>
      <c r="H39" s="112"/>
    </row>
    <row r="40" spans="1:8" ht="15.75" customHeight="1" x14ac:dyDescent="0.4">
      <c r="A40" s="70"/>
      <c r="B40" s="32"/>
      <c r="C40" s="32"/>
      <c r="D40" s="32"/>
      <c r="E40" s="32"/>
      <c r="F40" s="32"/>
      <c r="G40" s="112"/>
      <c r="H40" s="112"/>
    </row>
    <row r="41" spans="1:8" ht="15.75" customHeight="1" x14ac:dyDescent="0.3"/>
    <row r="42" spans="1:8" ht="15.75" customHeight="1" x14ac:dyDescent="0.3">
      <c r="C42" s="56"/>
    </row>
    <row r="43" spans="1:8" ht="15.75" customHeight="1" x14ac:dyDescent="0.3"/>
    <row r="44" spans="1:8" ht="15.75" customHeight="1" x14ac:dyDescent="0.3"/>
    <row r="45" spans="1:8" ht="15.75" customHeight="1" x14ac:dyDescent="0.4">
      <c r="B45" s="328">
        <f>D4</f>
        <v>400</v>
      </c>
      <c r="C45" s="327"/>
      <c r="D45" s="327"/>
      <c r="E45" s="327"/>
      <c r="F45" s="327"/>
      <c r="G45" s="327"/>
    </row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52">
    <mergeCell ref="C33:G33"/>
    <mergeCell ref="C39:G39"/>
    <mergeCell ref="G38:H38"/>
    <mergeCell ref="B45:G45"/>
    <mergeCell ref="D24:F24"/>
    <mergeCell ref="F32:H32"/>
    <mergeCell ref="A30:E32"/>
    <mergeCell ref="F30:H31"/>
    <mergeCell ref="A29:B29"/>
    <mergeCell ref="C29:H29"/>
    <mergeCell ref="D25:F25"/>
    <mergeCell ref="C28:H28"/>
    <mergeCell ref="A1:H1"/>
    <mergeCell ref="A2:H2"/>
    <mergeCell ref="A28:B28"/>
    <mergeCell ref="A24:A25"/>
    <mergeCell ref="A19:A21"/>
    <mergeCell ref="B15:B17"/>
    <mergeCell ref="A15:A17"/>
    <mergeCell ref="A11:A14"/>
    <mergeCell ref="C15:C17"/>
    <mergeCell ref="D27:F27"/>
    <mergeCell ref="D26:F26"/>
    <mergeCell ref="D13:F13"/>
    <mergeCell ref="D14:F14"/>
    <mergeCell ref="D12:F12"/>
    <mergeCell ref="D11:F11"/>
    <mergeCell ref="D9:F9"/>
    <mergeCell ref="D23:F23"/>
    <mergeCell ref="H15:H16"/>
    <mergeCell ref="D18:F18"/>
    <mergeCell ref="A4:C4"/>
    <mergeCell ref="A3:C3"/>
    <mergeCell ref="C5:H5"/>
    <mergeCell ref="A5:B5"/>
    <mergeCell ref="C6:H6"/>
    <mergeCell ref="E3:H3"/>
    <mergeCell ref="E4:H4"/>
    <mergeCell ref="D7:F7"/>
    <mergeCell ref="D8:F8"/>
    <mergeCell ref="D10:F10"/>
    <mergeCell ref="A6:B6"/>
    <mergeCell ref="A7:B7"/>
    <mergeCell ref="A8:A10"/>
    <mergeCell ref="E15:F16"/>
    <mergeCell ref="E17:F17"/>
    <mergeCell ref="G15:G16"/>
    <mergeCell ref="D15:D16"/>
    <mergeCell ref="D22:F22"/>
    <mergeCell ref="D19:F19"/>
    <mergeCell ref="D20:F20"/>
    <mergeCell ref="D21:F21"/>
  </mergeCells>
  <pageMargins left="0.7" right="0.7" top="0.75" bottom="0.75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4"/>
  <sheetViews>
    <sheetView workbookViewId="0"/>
  </sheetViews>
  <sheetFormatPr baseColWidth="10" defaultColWidth="14.44140625" defaultRowHeight="15" customHeight="1" x14ac:dyDescent="0.3"/>
  <cols>
    <col min="1" max="1" width="14.44140625" customWidth="1"/>
    <col min="2" max="2" width="20" customWidth="1"/>
    <col min="3" max="3" width="8.5546875" customWidth="1"/>
    <col min="4" max="4" width="16.5546875" customWidth="1"/>
    <col min="5" max="5" width="8.5546875" customWidth="1"/>
    <col min="6" max="6" width="4.5546875" customWidth="1"/>
    <col min="7" max="8" width="8.5546875" customWidth="1"/>
  </cols>
  <sheetData>
    <row r="1" spans="1:8" ht="22.8" x14ac:dyDescent="0.4">
      <c r="A1" s="344"/>
      <c r="B1" s="332"/>
      <c r="C1" s="332"/>
      <c r="D1" s="332"/>
      <c r="E1" s="332"/>
      <c r="F1" s="332"/>
      <c r="G1" s="332"/>
      <c r="H1" s="330"/>
    </row>
    <row r="2" spans="1:8" ht="17.399999999999999" x14ac:dyDescent="0.3">
      <c r="A2" s="488" t="s">
        <v>274</v>
      </c>
      <c r="B2" s="332"/>
      <c r="C2" s="332"/>
      <c r="D2" s="332"/>
      <c r="E2" s="332"/>
      <c r="F2" s="332"/>
      <c r="G2" s="332"/>
      <c r="H2" s="330"/>
    </row>
    <row r="3" spans="1:8" ht="21" x14ac:dyDescent="0.4">
      <c r="A3" s="331" t="s">
        <v>3</v>
      </c>
      <c r="B3" s="332"/>
      <c r="C3" s="330"/>
      <c r="D3" s="644">
        <v>230</v>
      </c>
      <c r="E3" s="332"/>
      <c r="F3" s="345" t="s">
        <v>4</v>
      </c>
      <c r="G3" s="332"/>
      <c r="H3" s="330"/>
    </row>
    <row r="4" spans="1:8" ht="20.25" customHeight="1" x14ac:dyDescent="0.4">
      <c r="A4" s="373" t="s">
        <v>6</v>
      </c>
      <c r="B4" s="332"/>
      <c r="C4" s="330"/>
      <c r="D4" s="644">
        <v>210</v>
      </c>
      <c r="E4" s="332"/>
      <c r="F4" s="345" t="s">
        <v>4</v>
      </c>
      <c r="G4" s="332"/>
      <c r="H4" s="330"/>
    </row>
    <row r="5" spans="1:8" ht="20.25" customHeight="1" x14ac:dyDescent="0.4">
      <c r="A5" s="373" t="s">
        <v>7</v>
      </c>
      <c r="B5" s="332"/>
      <c r="C5" s="330"/>
      <c r="D5" s="644">
        <v>1</v>
      </c>
      <c r="E5" s="332"/>
      <c r="F5" s="345"/>
      <c r="G5" s="332"/>
      <c r="H5" s="330"/>
    </row>
    <row r="6" spans="1:8" ht="21" x14ac:dyDescent="0.4">
      <c r="A6" s="345" t="s">
        <v>72</v>
      </c>
      <c r="B6" s="330"/>
      <c r="C6" s="345"/>
      <c r="D6" s="332"/>
      <c r="E6" s="332"/>
      <c r="F6" s="332"/>
      <c r="G6" s="332"/>
      <c r="H6" s="330"/>
    </row>
    <row r="7" spans="1:8" ht="21" x14ac:dyDescent="0.4">
      <c r="A7" s="345" t="s">
        <v>9</v>
      </c>
      <c r="B7" s="330"/>
      <c r="C7" s="345"/>
      <c r="D7" s="332"/>
      <c r="E7" s="332"/>
      <c r="F7" s="332"/>
      <c r="G7" s="332"/>
      <c r="H7" s="330"/>
    </row>
    <row r="8" spans="1:8" ht="24" x14ac:dyDescent="0.4">
      <c r="A8" s="373" t="s">
        <v>61</v>
      </c>
      <c r="B8" s="330"/>
      <c r="C8" s="73" t="s">
        <v>11</v>
      </c>
      <c r="D8" s="409" t="s">
        <v>12</v>
      </c>
      <c r="E8" s="332"/>
      <c r="F8" s="330"/>
      <c r="G8" s="74" t="s">
        <v>13</v>
      </c>
      <c r="H8" s="62" t="s">
        <v>84</v>
      </c>
    </row>
    <row r="9" spans="1:8" ht="14.4" x14ac:dyDescent="0.25">
      <c r="A9" s="521" t="s">
        <v>19</v>
      </c>
      <c r="B9" s="13" t="s">
        <v>20</v>
      </c>
      <c r="C9" s="104" t="s">
        <v>250</v>
      </c>
      <c r="D9" s="346">
        <f>D4</f>
        <v>210</v>
      </c>
      <c r="E9" s="332"/>
      <c r="F9" s="330"/>
      <c r="G9" s="61">
        <f>D5*1</f>
        <v>1</v>
      </c>
      <c r="H9" s="13">
        <v>90</v>
      </c>
    </row>
    <row r="10" spans="1:8" ht="14.4" x14ac:dyDescent="0.25">
      <c r="A10" s="354"/>
      <c r="B10" s="13" t="s">
        <v>23</v>
      </c>
      <c r="C10" s="104" t="s">
        <v>275</v>
      </c>
      <c r="D10" s="346">
        <f>D4</f>
        <v>210</v>
      </c>
      <c r="E10" s="332"/>
      <c r="F10" s="330"/>
      <c r="G10" s="13">
        <f>D5*1</f>
        <v>1</v>
      </c>
      <c r="H10" s="13">
        <v>90</v>
      </c>
    </row>
    <row r="11" spans="1:8" ht="14.4" x14ac:dyDescent="0.25">
      <c r="A11" s="342"/>
      <c r="B11" s="13" t="s">
        <v>26</v>
      </c>
      <c r="C11" s="104" t="s">
        <v>252</v>
      </c>
      <c r="D11" s="346">
        <f>D3-2.5</f>
        <v>227.5</v>
      </c>
      <c r="E11" s="332"/>
      <c r="F11" s="330"/>
      <c r="G11" s="13">
        <f>D5*2</f>
        <v>2</v>
      </c>
      <c r="H11" s="13">
        <v>90</v>
      </c>
    </row>
    <row r="12" spans="1:8" ht="14.4" x14ac:dyDescent="0.25">
      <c r="A12" s="375" t="s">
        <v>88</v>
      </c>
      <c r="B12" s="13" t="s">
        <v>276</v>
      </c>
      <c r="C12" s="104" t="s">
        <v>254</v>
      </c>
      <c r="D12" s="346">
        <f>D3-2.5</f>
        <v>227.5</v>
      </c>
      <c r="E12" s="332"/>
      <c r="F12" s="330"/>
      <c r="G12" s="13">
        <f>D5*1</f>
        <v>1</v>
      </c>
      <c r="H12" s="13">
        <v>90</v>
      </c>
    </row>
    <row r="13" spans="1:8" ht="14.4" x14ac:dyDescent="0.25">
      <c r="A13" s="354"/>
      <c r="B13" s="13" t="s">
        <v>277</v>
      </c>
      <c r="C13" s="104" t="s">
        <v>256</v>
      </c>
      <c r="D13" s="346">
        <f>D3-2.5</f>
        <v>227.5</v>
      </c>
      <c r="E13" s="332"/>
      <c r="F13" s="330"/>
      <c r="G13" s="13">
        <f>D5*1</f>
        <v>1</v>
      </c>
      <c r="H13" s="13">
        <v>90</v>
      </c>
    </row>
    <row r="14" spans="1:8" ht="14.4" x14ac:dyDescent="0.25">
      <c r="A14" s="354"/>
      <c r="B14" s="13" t="s">
        <v>278</v>
      </c>
      <c r="C14" s="104" t="s">
        <v>254</v>
      </c>
      <c r="D14" s="346">
        <f>D3:E3-3.5</f>
        <v>226.5</v>
      </c>
      <c r="E14" s="332"/>
      <c r="F14" s="330"/>
      <c r="G14" s="13">
        <f>D5*1</f>
        <v>1</v>
      </c>
      <c r="H14" s="13"/>
    </row>
    <row r="15" spans="1:8" ht="14.4" x14ac:dyDescent="0.25">
      <c r="A15" s="354"/>
      <c r="B15" s="13" t="s">
        <v>279</v>
      </c>
      <c r="C15" s="104" t="s">
        <v>256</v>
      </c>
      <c r="D15" s="346">
        <f>D3:E3-3.5</f>
        <v>226.5</v>
      </c>
      <c r="E15" s="332"/>
      <c r="F15" s="330"/>
      <c r="G15" s="13">
        <f>D5*1</f>
        <v>1</v>
      </c>
      <c r="H15" s="13"/>
    </row>
    <row r="16" spans="1:8" ht="14.4" x14ac:dyDescent="0.25">
      <c r="A16" s="354"/>
      <c r="B16" s="13" t="s">
        <v>257</v>
      </c>
      <c r="C16" s="104" t="s">
        <v>258</v>
      </c>
      <c r="D16" s="346">
        <f>(D4+0.7)/2</f>
        <v>105.35</v>
      </c>
      <c r="E16" s="332"/>
      <c r="F16" s="330"/>
      <c r="G16" s="13">
        <v>4</v>
      </c>
      <c r="H16" s="13">
        <v>90</v>
      </c>
    </row>
    <row r="17" spans="1:9" ht="15" customHeight="1" x14ac:dyDescent="0.3">
      <c r="A17" s="645" t="s">
        <v>39</v>
      </c>
      <c r="B17" s="645" t="s">
        <v>148</v>
      </c>
      <c r="C17" s="362"/>
      <c r="D17" s="646" t="s">
        <v>3</v>
      </c>
      <c r="E17" s="647" t="s">
        <v>41</v>
      </c>
      <c r="F17" s="336"/>
      <c r="G17" s="612"/>
      <c r="H17" s="612"/>
    </row>
    <row r="18" spans="1:9" ht="15" customHeight="1" x14ac:dyDescent="0.3">
      <c r="A18" s="354"/>
      <c r="B18" s="354"/>
      <c r="C18" s="354"/>
      <c r="D18" s="342"/>
      <c r="E18" s="337"/>
      <c r="F18" s="339"/>
      <c r="G18" s="342"/>
      <c r="H18" s="354"/>
    </row>
    <row r="19" spans="1:9" ht="14.4" x14ac:dyDescent="0.25">
      <c r="A19" s="354"/>
      <c r="B19" s="354"/>
      <c r="C19" s="354"/>
      <c r="D19" s="166">
        <f>D14:F14-13.2</f>
        <v>213.3</v>
      </c>
      <c r="E19" s="629">
        <f>D16-11.5</f>
        <v>93.85</v>
      </c>
      <c r="F19" s="330"/>
      <c r="G19" s="159">
        <f>D5*1</f>
        <v>1</v>
      </c>
      <c r="H19" s="354"/>
      <c r="I19" s="175" t="s">
        <v>280</v>
      </c>
    </row>
    <row r="20" spans="1:9" ht="14.4" x14ac:dyDescent="0.25">
      <c r="A20" s="342"/>
      <c r="B20" s="342"/>
      <c r="C20" s="342"/>
      <c r="D20" s="166">
        <f>D12:F12-13.2</f>
        <v>214.3</v>
      </c>
      <c r="E20" s="629">
        <f>D16-11.5</f>
        <v>93.85</v>
      </c>
      <c r="F20" s="330"/>
      <c r="G20" s="159">
        <f>D5*1</f>
        <v>1</v>
      </c>
      <c r="H20" s="342"/>
      <c r="I20" s="175" t="s">
        <v>159</v>
      </c>
    </row>
    <row r="21" spans="1:9" ht="15.75" customHeight="1" x14ac:dyDescent="0.25">
      <c r="A21" s="77" t="s">
        <v>42</v>
      </c>
      <c r="B21" s="13">
        <v>7038</v>
      </c>
      <c r="C21" s="13"/>
      <c r="D21" s="346"/>
      <c r="E21" s="332"/>
      <c r="F21" s="330"/>
      <c r="G21" s="13">
        <f>(D19*4)+(E19*4)</f>
        <v>1228.5999999999999</v>
      </c>
      <c r="H21" s="13" t="s">
        <v>43</v>
      </c>
    </row>
    <row r="22" spans="1:9" ht="15.75" customHeight="1" x14ac:dyDescent="0.25">
      <c r="A22" s="520" t="s">
        <v>44</v>
      </c>
      <c r="B22" s="13" t="s">
        <v>259</v>
      </c>
      <c r="C22" s="13"/>
      <c r="D22" s="333"/>
      <c r="E22" s="332"/>
      <c r="F22" s="330"/>
      <c r="G22" s="13">
        <f>20*D5</f>
        <v>20</v>
      </c>
      <c r="H22" s="13"/>
    </row>
    <row r="23" spans="1:9" ht="15.75" customHeight="1" x14ac:dyDescent="0.25">
      <c r="A23" s="354"/>
      <c r="B23" s="13" t="s">
        <v>259</v>
      </c>
      <c r="C23" s="13"/>
      <c r="D23" s="333"/>
      <c r="E23" s="332"/>
      <c r="F23" s="330"/>
      <c r="G23" s="13">
        <f>D5*6</f>
        <v>6</v>
      </c>
      <c r="H23" s="13"/>
    </row>
    <row r="24" spans="1:9" ht="15.75" customHeight="1" x14ac:dyDescent="0.25">
      <c r="A24" s="342"/>
      <c r="B24" s="13" t="s">
        <v>260</v>
      </c>
      <c r="C24" s="13"/>
      <c r="D24" s="333"/>
      <c r="E24" s="332"/>
      <c r="F24" s="330"/>
      <c r="G24" s="13">
        <f>D5*10</f>
        <v>10</v>
      </c>
      <c r="H24" s="13"/>
    </row>
    <row r="25" spans="1:9" ht="15.75" customHeight="1" x14ac:dyDescent="0.25">
      <c r="A25" s="77" t="s">
        <v>70</v>
      </c>
      <c r="B25" s="26" t="s">
        <v>223</v>
      </c>
      <c r="C25" s="13"/>
      <c r="D25" s="333"/>
      <c r="E25" s="332"/>
      <c r="F25" s="330"/>
      <c r="G25" s="13">
        <f>D5*10</f>
        <v>10</v>
      </c>
      <c r="H25" s="13"/>
    </row>
    <row r="26" spans="1:9" ht="15.75" customHeight="1" x14ac:dyDescent="0.25">
      <c r="A26" s="79" t="s">
        <v>50</v>
      </c>
      <c r="B26" s="13">
        <v>7038</v>
      </c>
      <c r="C26" s="13"/>
      <c r="D26" s="333"/>
      <c r="E26" s="332"/>
      <c r="F26" s="330"/>
      <c r="G26" s="13">
        <f>D5*2</f>
        <v>2</v>
      </c>
      <c r="H26" s="13"/>
    </row>
    <row r="27" spans="1:9" ht="15.75" customHeight="1" x14ac:dyDescent="0.25">
      <c r="A27" s="520" t="s">
        <v>53</v>
      </c>
      <c r="B27" s="13" t="s">
        <v>261</v>
      </c>
      <c r="C27" s="13"/>
      <c r="D27" s="333"/>
      <c r="E27" s="332"/>
      <c r="F27" s="330"/>
      <c r="G27" s="13">
        <f>D5*4</f>
        <v>4</v>
      </c>
      <c r="H27" s="13"/>
    </row>
    <row r="28" spans="1:9" ht="15.75" customHeight="1" x14ac:dyDescent="0.25">
      <c r="A28" s="342"/>
      <c r="B28" s="13" t="s">
        <v>262</v>
      </c>
      <c r="C28" s="13"/>
      <c r="D28" s="333"/>
      <c r="E28" s="332"/>
      <c r="F28" s="330"/>
      <c r="G28" s="13">
        <f>D5*4</f>
        <v>4</v>
      </c>
      <c r="H28" s="13"/>
    </row>
    <row r="29" spans="1:9" ht="15.75" customHeight="1" x14ac:dyDescent="0.25">
      <c r="A29" s="74" t="s">
        <v>241</v>
      </c>
      <c r="B29" s="13" t="s">
        <v>263</v>
      </c>
      <c r="C29" s="13"/>
      <c r="D29" s="333"/>
      <c r="E29" s="332"/>
      <c r="F29" s="330"/>
      <c r="G29" s="13">
        <f>D5*1</f>
        <v>1</v>
      </c>
      <c r="H29" s="13"/>
    </row>
    <row r="30" spans="1:9" ht="15.75" customHeight="1" x14ac:dyDescent="0.25">
      <c r="A30" s="77" t="s">
        <v>54</v>
      </c>
      <c r="B30" s="13" t="s">
        <v>264</v>
      </c>
      <c r="C30" s="13"/>
      <c r="D30" s="333"/>
      <c r="E30" s="332"/>
      <c r="F30" s="330"/>
      <c r="G30" s="13">
        <f>D5*1</f>
        <v>1</v>
      </c>
      <c r="H30" s="13"/>
    </row>
    <row r="31" spans="1:9" ht="15.75" customHeight="1" x14ac:dyDescent="0.3">
      <c r="A31" s="331" t="s">
        <v>56</v>
      </c>
      <c r="B31" s="330"/>
      <c r="C31" s="331"/>
      <c r="D31" s="332"/>
      <c r="E31" s="332"/>
      <c r="F31" s="332"/>
      <c r="G31" s="332"/>
      <c r="H31" s="330"/>
    </row>
    <row r="32" spans="1:9" ht="15.75" customHeight="1" x14ac:dyDescent="0.3">
      <c r="A32" s="331" t="s">
        <v>57</v>
      </c>
      <c r="B32" s="330"/>
      <c r="C32" s="331"/>
      <c r="D32" s="332"/>
      <c r="E32" s="332"/>
      <c r="F32" s="332"/>
      <c r="G32" s="332"/>
      <c r="H32" s="330"/>
    </row>
    <row r="33" spans="1:8" ht="18" customHeight="1" x14ac:dyDescent="0.3">
      <c r="A33" s="334" t="s">
        <v>58</v>
      </c>
      <c r="B33" s="335"/>
      <c r="C33" s="335"/>
      <c r="D33" s="335"/>
      <c r="E33" s="336"/>
      <c r="F33" s="334"/>
      <c r="G33" s="335"/>
      <c r="H33" s="336"/>
    </row>
    <row r="34" spans="1:8" ht="15" customHeight="1" x14ac:dyDescent="0.3">
      <c r="A34" s="624"/>
      <c r="B34" s="327"/>
      <c r="C34" s="327"/>
      <c r="D34" s="327"/>
      <c r="E34" s="361"/>
      <c r="F34" s="337"/>
      <c r="G34" s="338"/>
      <c r="H34" s="339"/>
    </row>
    <row r="35" spans="1:8" ht="15.75" customHeight="1" x14ac:dyDescent="0.3">
      <c r="A35" s="337"/>
      <c r="B35" s="338"/>
      <c r="C35" s="338"/>
      <c r="D35" s="338"/>
      <c r="E35" s="339"/>
      <c r="F35" s="331" t="s">
        <v>59</v>
      </c>
      <c r="G35" s="332"/>
      <c r="H35" s="330"/>
    </row>
    <row r="36" spans="1:8" ht="15.75" customHeight="1" x14ac:dyDescent="0.35">
      <c r="A36" s="80"/>
      <c r="B36" s="71"/>
      <c r="C36" s="71"/>
      <c r="D36" s="71"/>
      <c r="E36" s="71"/>
      <c r="F36" s="71"/>
      <c r="G36" s="71"/>
      <c r="H36" s="81"/>
    </row>
    <row r="37" spans="1:8" ht="15.75" customHeight="1" x14ac:dyDescent="0.35">
      <c r="A37" s="80"/>
      <c r="B37" s="71"/>
      <c r="C37" s="82"/>
      <c r="D37" s="71"/>
      <c r="E37" s="71"/>
      <c r="F37" s="71"/>
      <c r="G37" s="71"/>
      <c r="H37" s="81"/>
    </row>
    <row r="38" spans="1:8" ht="15.75" customHeight="1" x14ac:dyDescent="0.35">
      <c r="A38" s="80"/>
      <c r="B38" s="71"/>
      <c r="C38" s="71"/>
      <c r="D38" s="71"/>
      <c r="E38" s="71"/>
      <c r="F38" s="71"/>
      <c r="G38" s="83"/>
      <c r="H38" s="81"/>
    </row>
    <row r="39" spans="1:8" ht="15.75" customHeight="1" x14ac:dyDescent="0.35">
      <c r="A39" s="80"/>
      <c r="B39" s="71"/>
      <c r="C39" s="71"/>
      <c r="D39" s="71"/>
      <c r="E39" s="71"/>
      <c r="F39" s="71"/>
      <c r="G39" s="84"/>
      <c r="H39" s="81"/>
    </row>
    <row r="40" spans="1:8" ht="15.75" customHeight="1" x14ac:dyDescent="0.35">
      <c r="A40" s="80"/>
      <c r="B40" s="71"/>
      <c r="C40" s="71"/>
      <c r="D40" s="71"/>
      <c r="E40" s="483"/>
      <c r="F40" s="327"/>
      <c r="G40" s="327"/>
      <c r="H40" s="81"/>
    </row>
    <row r="41" spans="1:8" ht="15.75" customHeight="1" x14ac:dyDescent="0.35">
      <c r="A41" s="80"/>
      <c r="B41" s="71"/>
      <c r="C41" s="71"/>
      <c r="D41" s="71"/>
      <c r="E41" s="71"/>
      <c r="F41" s="71"/>
      <c r="G41" s="84"/>
      <c r="H41" s="81"/>
    </row>
    <row r="42" spans="1:8" ht="15.75" customHeight="1" x14ac:dyDescent="0.35">
      <c r="A42" s="80"/>
      <c r="B42" s="71"/>
      <c r="C42" s="71"/>
      <c r="D42" s="71"/>
      <c r="E42" s="71"/>
      <c r="F42" s="71"/>
      <c r="G42" s="84"/>
      <c r="H42" s="81"/>
    </row>
    <row r="43" spans="1:8" ht="15.75" customHeight="1" x14ac:dyDescent="0.35">
      <c r="A43" s="80"/>
      <c r="B43" s="71"/>
      <c r="C43" s="71"/>
      <c r="D43" s="71"/>
      <c r="E43" s="71"/>
      <c r="F43" s="71"/>
      <c r="G43" s="84"/>
      <c r="H43" s="81"/>
    </row>
    <row r="44" spans="1:8" ht="15.75" customHeight="1" x14ac:dyDescent="0.35">
      <c r="A44" s="80"/>
      <c r="B44" s="71"/>
      <c r="C44" s="71"/>
      <c r="D44" s="71"/>
      <c r="E44" s="71"/>
      <c r="F44" s="71"/>
      <c r="G44" s="84"/>
      <c r="H44" s="81"/>
    </row>
    <row r="45" spans="1:8" ht="15.75" customHeight="1" x14ac:dyDescent="0.35">
      <c r="A45" s="80"/>
      <c r="B45" s="71"/>
      <c r="C45" s="483"/>
      <c r="D45" s="327"/>
      <c r="E45" s="327"/>
      <c r="F45" s="71"/>
      <c r="G45" s="84"/>
      <c r="H45" s="81"/>
    </row>
    <row r="46" spans="1:8" ht="15.75" customHeight="1" x14ac:dyDescent="0.35">
      <c r="A46" s="80"/>
      <c r="B46" s="71"/>
      <c r="C46" s="82"/>
      <c r="D46" s="71"/>
      <c r="E46" s="71"/>
      <c r="F46" s="71"/>
      <c r="G46" s="71"/>
      <c r="H46" s="81"/>
    </row>
    <row r="47" spans="1:8" ht="15.75" customHeight="1" x14ac:dyDescent="0.35">
      <c r="A47" s="80"/>
      <c r="C47" s="71"/>
      <c r="D47" s="71"/>
      <c r="E47" s="71"/>
      <c r="F47" s="71"/>
      <c r="G47" s="71"/>
      <c r="H47" s="81"/>
    </row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</sheetData>
  <mergeCells count="57">
    <mergeCell ref="A32:B32"/>
    <mergeCell ref="A33:E35"/>
    <mergeCell ref="C6:H6"/>
    <mergeCell ref="F33:H34"/>
    <mergeCell ref="A6:B6"/>
    <mergeCell ref="C31:H31"/>
    <mergeCell ref="C32:H32"/>
    <mergeCell ref="D24:F24"/>
    <mergeCell ref="E19:F19"/>
    <mergeCell ref="E20:F20"/>
    <mergeCell ref="D23:F23"/>
    <mergeCell ref="D22:F22"/>
    <mergeCell ref="G17:G18"/>
    <mergeCell ref="E17:F18"/>
    <mergeCell ref="C7:H7"/>
    <mergeCell ref="D8:F8"/>
    <mergeCell ref="D12:F12"/>
    <mergeCell ref="A9:A11"/>
    <mergeCell ref="A12:A16"/>
    <mergeCell ref="D16:F16"/>
    <mergeCell ref="H17:H20"/>
    <mergeCell ref="D17:D18"/>
    <mergeCell ref="D15:F15"/>
    <mergeCell ref="D13:F13"/>
    <mergeCell ref="D14:F14"/>
    <mergeCell ref="B17:B20"/>
    <mergeCell ref="C17:C20"/>
    <mergeCell ref="A17:A20"/>
    <mergeCell ref="A7:B7"/>
    <mergeCell ref="A8:B8"/>
    <mergeCell ref="D9:F9"/>
    <mergeCell ref="D10:F10"/>
    <mergeCell ref="D11:F11"/>
    <mergeCell ref="F35:H35"/>
    <mergeCell ref="E40:G40"/>
    <mergeCell ref="C45:E45"/>
    <mergeCell ref="D27:F27"/>
    <mergeCell ref="D28:F28"/>
    <mergeCell ref="D30:F30"/>
    <mergeCell ref="D29:F29"/>
    <mergeCell ref="D25:F25"/>
    <mergeCell ref="D26:F26"/>
    <mergeCell ref="D21:F21"/>
    <mergeCell ref="A31:B31"/>
    <mergeCell ref="A27:A28"/>
    <mergeCell ref="A22:A24"/>
    <mergeCell ref="A2:H2"/>
    <mergeCell ref="A1:H1"/>
    <mergeCell ref="D5:E5"/>
    <mergeCell ref="F5:H5"/>
    <mergeCell ref="A5:C5"/>
    <mergeCell ref="F3:H3"/>
    <mergeCell ref="F4:H4"/>
    <mergeCell ref="D3:E3"/>
    <mergeCell ref="A4:C4"/>
    <mergeCell ref="D4:E4"/>
    <mergeCell ref="A3:C3"/>
  </mergeCell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Views>
    <sheetView workbookViewId="0"/>
  </sheetViews>
  <sheetFormatPr baseColWidth="10" defaultColWidth="14.44140625" defaultRowHeight="15" customHeight="1" x14ac:dyDescent="0.3"/>
  <cols>
    <col min="1" max="1" width="14.5546875" customWidth="1"/>
    <col min="2" max="2" width="19.6640625" customWidth="1"/>
    <col min="3" max="3" width="8.5546875" customWidth="1"/>
    <col min="4" max="4" width="17.109375" customWidth="1"/>
    <col min="5" max="5" width="8.5546875" customWidth="1"/>
    <col min="6" max="6" width="1.88671875" customWidth="1"/>
    <col min="7" max="8" width="8.5546875" customWidth="1"/>
  </cols>
  <sheetData>
    <row r="1" spans="1:8" ht="22.8" x14ac:dyDescent="0.4">
      <c r="A1" s="344"/>
      <c r="B1" s="332"/>
      <c r="C1" s="332"/>
      <c r="D1" s="332"/>
      <c r="E1" s="332"/>
      <c r="F1" s="332"/>
      <c r="G1" s="332"/>
      <c r="H1" s="330"/>
    </row>
    <row r="2" spans="1:8" ht="17.399999999999999" x14ac:dyDescent="0.3">
      <c r="A2" s="649" t="s">
        <v>281</v>
      </c>
      <c r="B2" s="510"/>
      <c r="C2" s="510"/>
      <c r="D2" s="510"/>
      <c r="E2" s="510"/>
      <c r="F2" s="510"/>
      <c r="G2" s="510"/>
      <c r="H2" s="511"/>
    </row>
    <row r="3" spans="1:8" ht="21" x14ac:dyDescent="0.4">
      <c r="A3" s="331" t="s">
        <v>3</v>
      </c>
      <c r="B3" s="332"/>
      <c r="C3" s="330"/>
      <c r="D3" s="170">
        <v>230</v>
      </c>
      <c r="E3" s="489" t="s">
        <v>4</v>
      </c>
      <c r="F3" s="332"/>
      <c r="G3" s="332"/>
      <c r="H3" s="330"/>
    </row>
    <row r="4" spans="1:8" ht="20.25" customHeight="1" x14ac:dyDescent="0.4">
      <c r="A4" s="373" t="s">
        <v>6</v>
      </c>
      <c r="B4" s="332"/>
      <c r="C4" s="330"/>
      <c r="D4" s="170">
        <v>360</v>
      </c>
      <c r="E4" s="489" t="s">
        <v>4</v>
      </c>
      <c r="F4" s="332"/>
      <c r="G4" s="332"/>
      <c r="H4" s="330"/>
    </row>
    <row r="5" spans="1:8" ht="20.25" customHeight="1" x14ac:dyDescent="0.4">
      <c r="A5" s="373" t="s">
        <v>7</v>
      </c>
      <c r="B5" s="332"/>
      <c r="C5" s="330"/>
      <c r="D5" s="170">
        <v>1</v>
      </c>
      <c r="E5" s="489"/>
      <c r="F5" s="332"/>
      <c r="G5" s="332"/>
      <c r="H5" s="330"/>
    </row>
    <row r="6" spans="1:8" ht="21" x14ac:dyDescent="0.4">
      <c r="A6" s="345" t="s">
        <v>72</v>
      </c>
      <c r="B6" s="330"/>
      <c r="C6" s="345"/>
      <c r="D6" s="332"/>
      <c r="E6" s="332"/>
      <c r="F6" s="332"/>
      <c r="G6" s="332"/>
      <c r="H6" s="330"/>
    </row>
    <row r="7" spans="1:8" ht="21" x14ac:dyDescent="0.4">
      <c r="A7" s="345" t="s">
        <v>9</v>
      </c>
      <c r="B7" s="330"/>
      <c r="C7" s="345"/>
      <c r="D7" s="332"/>
      <c r="E7" s="332"/>
      <c r="F7" s="332"/>
      <c r="G7" s="332"/>
      <c r="H7" s="330"/>
    </row>
    <row r="8" spans="1:8" ht="24" x14ac:dyDescent="0.3">
      <c r="A8" s="373" t="s">
        <v>61</v>
      </c>
      <c r="B8" s="330"/>
      <c r="C8" s="60" t="s">
        <v>11</v>
      </c>
      <c r="D8" s="409" t="s">
        <v>12</v>
      </c>
      <c r="E8" s="332"/>
      <c r="F8" s="330"/>
      <c r="G8" s="90" t="s">
        <v>13</v>
      </c>
      <c r="H8" s="62" t="s">
        <v>107</v>
      </c>
    </row>
    <row r="9" spans="1:8" ht="14.4" x14ac:dyDescent="0.25">
      <c r="A9" s="362" t="s">
        <v>19</v>
      </c>
      <c r="B9" s="13" t="s">
        <v>20</v>
      </c>
      <c r="C9" s="104" t="s">
        <v>250</v>
      </c>
      <c r="D9" s="346">
        <f>D4</f>
        <v>360</v>
      </c>
      <c r="E9" s="332"/>
      <c r="F9" s="330"/>
      <c r="G9" s="13">
        <f>D5*1</f>
        <v>1</v>
      </c>
      <c r="H9" s="13">
        <v>90</v>
      </c>
    </row>
    <row r="10" spans="1:8" ht="14.4" x14ac:dyDescent="0.25">
      <c r="A10" s="354"/>
      <c r="B10" s="13" t="s">
        <v>23</v>
      </c>
      <c r="C10" s="104" t="s">
        <v>275</v>
      </c>
      <c r="D10" s="346">
        <f>D4</f>
        <v>360</v>
      </c>
      <c r="E10" s="332"/>
      <c r="F10" s="330"/>
      <c r="G10" s="13">
        <f>D5*1</f>
        <v>1</v>
      </c>
      <c r="H10" s="13">
        <v>90</v>
      </c>
    </row>
    <row r="11" spans="1:8" ht="14.4" x14ac:dyDescent="0.25">
      <c r="A11" s="342"/>
      <c r="B11" s="13" t="s">
        <v>26</v>
      </c>
      <c r="C11" s="104" t="s">
        <v>252</v>
      </c>
      <c r="D11" s="346">
        <f>D3-2.5</f>
        <v>227.5</v>
      </c>
      <c r="E11" s="332"/>
      <c r="F11" s="330"/>
      <c r="G11" s="13">
        <f>D5*2</f>
        <v>2</v>
      </c>
      <c r="H11" s="13">
        <v>90</v>
      </c>
    </row>
    <row r="12" spans="1:8" ht="14.4" x14ac:dyDescent="0.25">
      <c r="A12" s="481" t="s">
        <v>66</v>
      </c>
      <c r="B12" s="13" t="s">
        <v>253</v>
      </c>
      <c r="C12" s="104" t="s">
        <v>254</v>
      </c>
      <c r="D12" s="346">
        <f>D3-0.4</f>
        <v>229.6</v>
      </c>
      <c r="E12" s="332"/>
      <c r="F12" s="330"/>
      <c r="G12" s="13">
        <f>D5*1</f>
        <v>1</v>
      </c>
      <c r="H12" s="13">
        <v>90</v>
      </c>
    </row>
    <row r="13" spans="1:8" ht="14.4" x14ac:dyDescent="0.25">
      <c r="A13" s="354"/>
      <c r="B13" s="13" t="s">
        <v>255</v>
      </c>
      <c r="C13" s="104" t="s">
        <v>256</v>
      </c>
      <c r="D13" s="346">
        <f>D12</f>
        <v>229.6</v>
      </c>
      <c r="E13" s="332"/>
      <c r="F13" s="330"/>
      <c r="G13" s="13">
        <f>D5*1</f>
        <v>1</v>
      </c>
      <c r="H13" s="13">
        <v>90</v>
      </c>
    </row>
    <row r="14" spans="1:8" ht="14.4" x14ac:dyDescent="0.25">
      <c r="A14" s="354"/>
      <c r="B14" s="13" t="s">
        <v>93</v>
      </c>
      <c r="C14" s="104" t="s">
        <v>258</v>
      </c>
      <c r="D14" s="346">
        <f>(D4+7.2)/3</f>
        <v>122.39999999999999</v>
      </c>
      <c r="E14" s="332"/>
      <c r="F14" s="330"/>
      <c r="G14" s="13">
        <f>D5*1</f>
        <v>1</v>
      </c>
      <c r="H14" s="13">
        <v>90</v>
      </c>
    </row>
    <row r="15" spans="1:8" ht="14.4" x14ac:dyDescent="0.25">
      <c r="A15" s="342"/>
      <c r="B15" s="13" t="s">
        <v>95</v>
      </c>
      <c r="C15" s="104" t="s">
        <v>258</v>
      </c>
      <c r="D15" s="346">
        <f>D14</f>
        <v>122.39999999999999</v>
      </c>
      <c r="E15" s="332"/>
      <c r="F15" s="330"/>
      <c r="G15" s="13">
        <f>D5*1</f>
        <v>1</v>
      </c>
      <c r="H15" s="13">
        <v>90</v>
      </c>
    </row>
    <row r="16" spans="1:8" ht="14.4" x14ac:dyDescent="0.25">
      <c r="A16" s="481" t="s">
        <v>108</v>
      </c>
      <c r="B16" s="13" t="s">
        <v>253</v>
      </c>
      <c r="C16" s="104" t="s">
        <v>254</v>
      </c>
      <c r="D16" s="346">
        <f>D3-3.5</f>
        <v>226.5</v>
      </c>
      <c r="E16" s="332"/>
      <c r="F16" s="330"/>
      <c r="G16" s="13">
        <f>D5*3</f>
        <v>3</v>
      </c>
      <c r="H16" s="13">
        <v>90</v>
      </c>
    </row>
    <row r="17" spans="1:8" ht="14.4" x14ac:dyDescent="0.25">
      <c r="A17" s="354"/>
      <c r="B17" s="13" t="s">
        <v>255</v>
      </c>
      <c r="C17" s="104" t="s">
        <v>256</v>
      </c>
      <c r="D17" s="346">
        <f>D3-3.5</f>
        <v>226.5</v>
      </c>
      <c r="E17" s="332"/>
      <c r="F17" s="330"/>
      <c r="G17" s="13">
        <f>D5*1</f>
        <v>1</v>
      </c>
      <c r="H17" s="13">
        <v>90</v>
      </c>
    </row>
    <row r="18" spans="1:8" ht="14.4" x14ac:dyDescent="0.25">
      <c r="A18" s="354"/>
      <c r="B18" s="13" t="s">
        <v>93</v>
      </c>
      <c r="C18" s="104" t="s">
        <v>258</v>
      </c>
      <c r="D18" s="346">
        <f>(D4+7.2)/3</f>
        <v>122.39999999999999</v>
      </c>
      <c r="E18" s="332"/>
      <c r="F18" s="330"/>
      <c r="G18" s="13">
        <f>D5*2</f>
        <v>2</v>
      </c>
      <c r="H18" s="13">
        <v>90</v>
      </c>
    </row>
    <row r="19" spans="1:8" ht="14.4" x14ac:dyDescent="0.25">
      <c r="A19" s="354"/>
      <c r="B19" s="13" t="s">
        <v>266</v>
      </c>
      <c r="C19" s="104" t="s">
        <v>258</v>
      </c>
      <c r="D19" s="346">
        <f>D18</f>
        <v>122.39999999999999</v>
      </c>
      <c r="E19" s="332"/>
      <c r="F19" s="330"/>
      <c r="G19" s="13">
        <f>D5*2</f>
        <v>2</v>
      </c>
      <c r="H19" s="13">
        <v>90</v>
      </c>
    </row>
    <row r="20" spans="1:8" ht="14.4" x14ac:dyDescent="0.25">
      <c r="A20" s="354"/>
      <c r="B20" s="132"/>
      <c r="C20" s="13"/>
      <c r="D20" s="346"/>
      <c r="E20" s="332"/>
      <c r="F20" s="330"/>
      <c r="G20" s="13"/>
      <c r="H20" s="13"/>
    </row>
    <row r="21" spans="1:8" ht="15.75" customHeight="1" x14ac:dyDescent="0.3">
      <c r="A21" s="648" t="s">
        <v>39</v>
      </c>
      <c r="B21" s="645" t="s">
        <v>148</v>
      </c>
      <c r="C21" s="362"/>
      <c r="D21" s="646" t="s">
        <v>3</v>
      </c>
      <c r="E21" s="647" t="s">
        <v>41</v>
      </c>
      <c r="F21" s="336"/>
      <c r="G21" s="612"/>
      <c r="H21" s="612"/>
    </row>
    <row r="22" spans="1:8" ht="15.75" customHeight="1" x14ac:dyDescent="0.3">
      <c r="A22" s="354"/>
      <c r="B22" s="342"/>
      <c r="C22" s="342"/>
      <c r="D22" s="342"/>
      <c r="E22" s="337"/>
      <c r="F22" s="339"/>
      <c r="G22" s="342"/>
      <c r="H22" s="342"/>
    </row>
    <row r="23" spans="1:8" ht="15.75" customHeight="1" x14ac:dyDescent="0.25">
      <c r="A23" s="354"/>
      <c r="B23" s="171" t="s">
        <v>113</v>
      </c>
      <c r="C23" s="172"/>
      <c r="D23" s="166">
        <f>D12-13.5</f>
        <v>216.1</v>
      </c>
      <c r="E23" s="629">
        <f>D14-11.3</f>
        <v>111.1</v>
      </c>
      <c r="F23" s="330"/>
      <c r="G23" s="13">
        <f>D5*1</f>
        <v>1</v>
      </c>
      <c r="H23" s="13"/>
    </row>
    <row r="24" spans="1:8" ht="15.75" customHeight="1" x14ac:dyDescent="0.25">
      <c r="A24" s="354"/>
      <c r="B24" s="171" t="s">
        <v>114</v>
      </c>
      <c r="C24" s="172"/>
      <c r="D24" s="166">
        <f>D16-13.5</f>
        <v>213</v>
      </c>
      <c r="E24" s="629">
        <f>D18-11.3</f>
        <v>111.1</v>
      </c>
      <c r="F24" s="330"/>
      <c r="G24" s="13">
        <f>D5*1</f>
        <v>1</v>
      </c>
      <c r="H24" s="13"/>
    </row>
    <row r="25" spans="1:8" ht="15.75" customHeight="1" x14ac:dyDescent="0.25">
      <c r="A25" s="342"/>
      <c r="B25" s="171" t="s">
        <v>115</v>
      </c>
      <c r="C25" s="173"/>
      <c r="D25" s="166">
        <f>D16-13.5</f>
        <v>213</v>
      </c>
      <c r="E25" s="629">
        <f>D18-11.3</f>
        <v>111.1</v>
      </c>
      <c r="F25" s="330"/>
      <c r="G25" s="13">
        <f>D5*1</f>
        <v>1</v>
      </c>
      <c r="H25" s="13"/>
    </row>
    <row r="26" spans="1:8" ht="15.75" customHeight="1" x14ac:dyDescent="0.25">
      <c r="A26" s="13" t="s">
        <v>42</v>
      </c>
      <c r="B26" s="13">
        <v>7038</v>
      </c>
      <c r="C26" s="13"/>
      <c r="D26" s="346"/>
      <c r="E26" s="332"/>
      <c r="F26" s="330"/>
      <c r="G26" s="13">
        <f>(D23*6)+(E23*6)</f>
        <v>1963.1999999999998</v>
      </c>
      <c r="H26" s="13" t="s">
        <v>43</v>
      </c>
    </row>
    <row r="27" spans="1:8" ht="15.75" customHeight="1" x14ac:dyDescent="0.25">
      <c r="A27" s="481" t="s">
        <v>44</v>
      </c>
      <c r="B27" s="13" t="s">
        <v>267</v>
      </c>
      <c r="C27" s="13"/>
      <c r="D27" s="333"/>
      <c r="E27" s="332"/>
      <c r="F27" s="330"/>
      <c r="G27" s="13">
        <f>D5*16</f>
        <v>16</v>
      </c>
      <c r="H27" s="13"/>
    </row>
    <row r="28" spans="1:8" ht="15.75" customHeight="1" x14ac:dyDescent="0.25">
      <c r="A28" s="354"/>
      <c r="B28" s="13" t="s">
        <v>267</v>
      </c>
      <c r="C28" s="13"/>
      <c r="D28" s="333"/>
      <c r="E28" s="332"/>
      <c r="F28" s="330"/>
      <c r="G28" s="13">
        <f>D5*10</f>
        <v>10</v>
      </c>
      <c r="H28" s="13"/>
    </row>
    <row r="29" spans="1:8" ht="15.75" customHeight="1" x14ac:dyDescent="0.25">
      <c r="A29" s="342"/>
      <c r="B29" s="13" t="s">
        <v>100</v>
      </c>
      <c r="C29" s="13"/>
      <c r="D29" s="333"/>
      <c r="E29" s="332"/>
      <c r="F29" s="330"/>
      <c r="G29" s="13">
        <f>D5*6</f>
        <v>6</v>
      </c>
      <c r="H29" s="13"/>
    </row>
    <row r="30" spans="1:8" ht="15.75" customHeight="1" x14ac:dyDescent="0.25">
      <c r="A30" s="13" t="s">
        <v>70</v>
      </c>
      <c r="B30" s="13" t="s">
        <v>101</v>
      </c>
      <c r="C30" s="13"/>
      <c r="D30" s="333"/>
      <c r="E30" s="332"/>
      <c r="F30" s="330"/>
      <c r="G30" s="13">
        <f>D5*10</f>
        <v>10</v>
      </c>
      <c r="H30" s="13"/>
    </row>
    <row r="31" spans="1:8" ht="15.75" customHeight="1" x14ac:dyDescent="0.25">
      <c r="A31" s="15" t="s">
        <v>80</v>
      </c>
      <c r="B31" s="13">
        <v>7038</v>
      </c>
      <c r="C31" s="13"/>
      <c r="D31" s="333"/>
      <c r="E31" s="332"/>
      <c r="F31" s="330"/>
      <c r="G31" s="13">
        <f>D5*4</f>
        <v>4</v>
      </c>
      <c r="H31" s="13"/>
    </row>
    <row r="32" spans="1:8" ht="15.75" customHeight="1" x14ac:dyDescent="0.25">
      <c r="A32" s="481" t="s">
        <v>53</v>
      </c>
      <c r="B32" s="13" t="s">
        <v>261</v>
      </c>
      <c r="C32" s="13"/>
      <c r="D32" s="333"/>
      <c r="E32" s="332"/>
      <c r="F32" s="330"/>
      <c r="G32" s="13">
        <f>D5*4</f>
        <v>4</v>
      </c>
      <c r="H32" s="13"/>
    </row>
    <row r="33" spans="1:8" ht="15.75" customHeight="1" x14ac:dyDescent="0.25">
      <c r="A33" s="342"/>
      <c r="B33" s="13" t="s">
        <v>262</v>
      </c>
      <c r="C33" s="13"/>
      <c r="D33" s="333"/>
      <c r="E33" s="332"/>
      <c r="F33" s="330"/>
      <c r="G33" s="13">
        <f>D5*4</f>
        <v>4</v>
      </c>
      <c r="H33" s="13"/>
    </row>
    <row r="34" spans="1:8" ht="15.75" customHeight="1" x14ac:dyDescent="0.25">
      <c r="A34" s="90" t="s">
        <v>241</v>
      </c>
      <c r="B34" s="13" t="s">
        <v>263</v>
      </c>
      <c r="C34" s="13"/>
      <c r="D34" s="22"/>
      <c r="E34" s="25"/>
      <c r="F34" s="24"/>
      <c r="G34" s="13">
        <f>D5*1</f>
        <v>1</v>
      </c>
      <c r="H34" s="13"/>
    </row>
    <row r="35" spans="1:8" ht="15.75" customHeight="1" x14ac:dyDescent="0.25">
      <c r="A35" s="13" t="s">
        <v>54</v>
      </c>
      <c r="B35" s="13" t="s">
        <v>264</v>
      </c>
      <c r="C35" s="13"/>
      <c r="D35" s="333"/>
      <c r="E35" s="332"/>
      <c r="F35" s="330"/>
      <c r="G35" s="13">
        <f>D5*1</f>
        <v>1</v>
      </c>
      <c r="H35" s="13"/>
    </row>
    <row r="36" spans="1:8" ht="15.75" customHeight="1" x14ac:dyDescent="0.3">
      <c r="A36" s="331" t="s">
        <v>56</v>
      </c>
      <c r="B36" s="330"/>
      <c r="C36" s="331"/>
      <c r="D36" s="332"/>
      <c r="E36" s="332"/>
      <c r="F36" s="332"/>
      <c r="G36" s="332"/>
      <c r="H36" s="330"/>
    </row>
    <row r="37" spans="1:8" ht="15.75" customHeight="1" x14ac:dyDescent="0.3">
      <c r="A37" s="331" t="s">
        <v>57</v>
      </c>
      <c r="B37" s="330"/>
      <c r="C37" s="331"/>
      <c r="D37" s="332"/>
      <c r="E37" s="332"/>
      <c r="F37" s="332"/>
      <c r="G37" s="332"/>
      <c r="H37" s="330"/>
    </row>
    <row r="38" spans="1:8" ht="18" customHeight="1" x14ac:dyDescent="0.3">
      <c r="A38" s="334" t="s">
        <v>58</v>
      </c>
      <c r="B38" s="335"/>
      <c r="C38" s="335"/>
      <c r="D38" s="335"/>
      <c r="E38" s="336"/>
      <c r="F38" s="334" t="s">
        <v>59</v>
      </c>
      <c r="G38" s="335"/>
      <c r="H38" s="336"/>
    </row>
    <row r="39" spans="1:8" ht="18.75" customHeight="1" x14ac:dyDescent="0.3">
      <c r="A39" s="337"/>
      <c r="B39" s="338"/>
      <c r="C39" s="338"/>
      <c r="D39" s="338"/>
      <c r="E39" s="339"/>
      <c r="F39" s="337"/>
      <c r="G39" s="338"/>
      <c r="H39" s="339"/>
    </row>
    <row r="40" spans="1:8" ht="15.75" customHeight="1" x14ac:dyDescent="0.35">
      <c r="A40" s="80"/>
      <c r="B40" s="81"/>
      <c r="C40" s="484"/>
      <c r="D40" s="327"/>
      <c r="E40" s="327"/>
      <c r="F40" s="327"/>
      <c r="G40" s="71"/>
      <c r="H40" s="81"/>
    </row>
    <row r="41" spans="1:8" ht="15.75" customHeight="1" x14ac:dyDescent="0.35">
      <c r="A41" s="80"/>
      <c r="B41" s="81"/>
      <c r="C41" s="71"/>
      <c r="D41" s="71"/>
      <c r="E41" s="71"/>
      <c r="F41" s="71"/>
      <c r="G41" s="71"/>
      <c r="H41" s="81"/>
    </row>
    <row r="42" spans="1:8" ht="15.75" customHeight="1" x14ac:dyDescent="0.35">
      <c r="A42" s="80"/>
      <c r="B42" s="81"/>
      <c r="C42" s="71"/>
      <c r="D42" s="71"/>
      <c r="E42" s="71"/>
      <c r="F42" s="71"/>
      <c r="G42" s="71"/>
      <c r="H42" s="81"/>
    </row>
    <row r="43" spans="1:8" ht="15.75" customHeight="1" x14ac:dyDescent="0.35">
      <c r="A43" s="80"/>
      <c r="B43" s="81"/>
      <c r="C43" s="71"/>
      <c r="D43" s="71"/>
      <c r="E43" s="71"/>
      <c r="F43" s="71"/>
      <c r="G43" s="82"/>
      <c r="H43" s="81"/>
    </row>
    <row r="44" spans="1:8" ht="15.75" customHeight="1" x14ac:dyDescent="0.35">
      <c r="A44" s="80"/>
      <c r="B44" s="81"/>
      <c r="C44" s="71"/>
      <c r="D44" s="71"/>
      <c r="E44" s="71"/>
      <c r="F44" s="71"/>
      <c r="G44" s="71"/>
      <c r="H44" s="85"/>
    </row>
    <row r="45" spans="1:8" ht="15.75" customHeight="1" x14ac:dyDescent="0.35">
      <c r="A45" s="80"/>
      <c r="B45" s="81"/>
      <c r="C45" s="71"/>
      <c r="D45" s="71"/>
      <c r="E45" s="71"/>
      <c r="F45" s="71"/>
      <c r="G45" s="71"/>
      <c r="H45" s="81"/>
    </row>
    <row r="46" spans="1:8" ht="15.75" customHeight="1" x14ac:dyDescent="0.35">
      <c r="A46" s="80"/>
      <c r="B46" s="81"/>
      <c r="C46" s="484"/>
      <c r="D46" s="327"/>
      <c r="E46" s="327"/>
      <c r="F46" s="327"/>
      <c r="G46" s="71"/>
      <c r="H46" s="81"/>
    </row>
    <row r="47" spans="1:8" ht="15.75" customHeight="1" x14ac:dyDescent="0.35">
      <c r="A47" s="80"/>
      <c r="B47" s="81"/>
      <c r="C47" s="81"/>
      <c r="D47" s="81"/>
      <c r="E47" s="71"/>
      <c r="G47" s="71"/>
      <c r="H47" s="81"/>
    </row>
    <row r="48" spans="1:8" ht="15.75" customHeight="1" x14ac:dyDescent="0.3"/>
    <row r="49" spans="3:8" ht="15.75" customHeight="1" x14ac:dyDescent="0.3"/>
    <row r="50" spans="3:8" ht="15.75" customHeight="1" x14ac:dyDescent="0.3"/>
    <row r="51" spans="3:8" ht="15" customHeight="1" x14ac:dyDescent="0.4">
      <c r="C51" s="328"/>
      <c r="D51" s="327"/>
      <c r="E51" s="327"/>
      <c r="F51" s="327"/>
      <c r="G51" s="327"/>
      <c r="H51" s="327"/>
    </row>
    <row r="52" spans="3:8" ht="15.75" customHeight="1" x14ac:dyDescent="0.3"/>
    <row r="53" spans="3:8" ht="15.75" customHeight="1" x14ac:dyDescent="0.3"/>
    <row r="54" spans="3:8" ht="15.75" customHeight="1" x14ac:dyDescent="0.3"/>
    <row r="55" spans="3:8" ht="15.75" customHeight="1" x14ac:dyDescent="0.3"/>
    <row r="56" spans="3:8" ht="15.75" customHeight="1" x14ac:dyDescent="0.3"/>
    <row r="57" spans="3:8" ht="15.75" customHeight="1" x14ac:dyDescent="0.3"/>
    <row r="58" spans="3:8" ht="15.75" customHeight="1" x14ac:dyDescent="0.3"/>
    <row r="59" spans="3:8" ht="15.75" customHeight="1" x14ac:dyDescent="0.3"/>
    <row r="60" spans="3:8" ht="15.75" customHeight="1" x14ac:dyDescent="0.3"/>
    <row r="61" spans="3:8" ht="15.75" customHeight="1" x14ac:dyDescent="0.3"/>
    <row r="62" spans="3:8" ht="15.75" customHeight="1" x14ac:dyDescent="0.3"/>
    <row r="63" spans="3:8" ht="15.75" customHeight="1" x14ac:dyDescent="0.3"/>
    <row r="64" spans="3:8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</sheetData>
  <mergeCells count="59">
    <mergeCell ref="C46:F46"/>
    <mergeCell ref="C51:H51"/>
    <mergeCell ref="D18:F18"/>
    <mergeCell ref="D17:F17"/>
    <mergeCell ref="D32:F32"/>
    <mergeCell ref="D33:F33"/>
    <mergeCell ref="C37:H37"/>
    <mergeCell ref="C36:H36"/>
    <mergeCell ref="A38:E39"/>
    <mergeCell ref="F38:H39"/>
    <mergeCell ref="A27:A29"/>
    <mergeCell ref="A32:A33"/>
    <mergeCell ref="A37:B37"/>
    <mergeCell ref="A36:B36"/>
    <mergeCell ref="C40:F40"/>
    <mergeCell ref="A21:A25"/>
    <mergeCell ref="B21:B22"/>
    <mergeCell ref="C21:C22"/>
    <mergeCell ref="A12:A15"/>
    <mergeCell ref="A9:A11"/>
    <mergeCell ref="A1:H1"/>
    <mergeCell ref="A2:H2"/>
    <mergeCell ref="A7:B7"/>
    <mergeCell ref="A6:B6"/>
    <mergeCell ref="A4:C4"/>
    <mergeCell ref="A5:C5"/>
    <mergeCell ref="E4:H4"/>
    <mergeCell ref="E5:H5"/>
    <mergeCell ref="A8:B8"/>
    <mergeCell ref="A3:C3"/>
    <mergeCell ref="C6:H6"/>
    <mergeCell ref="A16:A20"/>
    <mergeCell ref="D16:F16"/>
    <mergeCell ref="D15:F15"/>
    <mergeCell ref="E3:H3"/>
    <mergeCell ref="D21:D22"/>
    <mergeCell ref="D30:F30"/>
    <mergeCell ref="E25:F25"/>
    <mergeCell ref="D8:F8"/>
    <mergeCell ref="C7:H7"/>
    <mergeCell ref="D9:F9"/>
    <mergeCell ref="D12:F12"/>
    <mergeCell ref="D11:F11"/>
    <mergeCell ref="D10:F10"/>
    <mergeCell ref="D14:F14"/>
    <mergeCell ref="D13:F13"/>
    <mergeCell ref="D19:F19"/>
    <mergeCell ref="D20:F20"/>
    <mergeCell ref="E21:F22"/>
    <mergeCell ref="H21:H22"/>
    <mergeCell ref="G21:G22"/>
    <mergeCell ref="E23:F23"/>
    <mergeCell ref="E24:F24"/>
    <mergeCell ref="D26:F26"/>
    <mergeCell ref="D31:F31"/>
    <mergeCell ref="D35:F35"/>
    <mergeCell ref="D28:F28"/>
    <mergeCell ref="D29:F29"/>
    <mergeCell ref="D27:F27"/>
  </mergeCell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"/>
  <sheetViews>
    <sheetView workbookViewId="0"/>
  </sheetViews>
  <sheetFormatPr baseColWidth="10" defaultColWidth="14.44140625" defaultRowHeight="15" customHeight="1" x14ac:dyDescent="0.3"/>
  <cols>
    <col min="1" max="1" width="17" customWidth="1"/>
    <col min="2" max="2" width="18.33203125" customWidth="1"/>
    <col min="3" max="3" width="10.33203125" customWidth="1"/>
    <col min="4" max="4" width="12.33203125" customWidth="1"/>
    <col min="5" max="5" width="7.5546875" customWidth="1"/>
    <col min="6" max="6" width="6.33203125" customWidth="1"/>
    <col min="7" max="7" width="10.88671875" customWidth="1"/>
    <col min="8" max="8" width="10.33203125" customWidth="1"/>
  </cols>
  <sheetData>
    <row r="1" spans="1:8" ht="22.8" x14ac:dyDescent="0.4">
      <c r="A1" s="509"/>
      <c r="B1" s="510"/>
      <c r="C1" s="510"/>
      <c r="D1" s="510"/>
      <c r="E1" s="510"/>
      <c r="F1" s="510"/>
      <c r="G1" s="510"/>
      <c r="H1" s="511"/>
    </row>
    <row r="2" spans="1:8" ht="22.8" x14ac:dyDescent="0.4">
      <c r="A2" s="516" t="s">
        <v>282</v>
      </c>
      <c r="B2" s="332"/>
      <c r="C2" s="332"/>
      <c r="D2" s="332"/>
      <c r="E2" s="332"/>
      <c r="F2" s="332"/>
      <c r="G2" s="332"/>
      <c r="H2" s="330"/>
    </row>
    <row r="3" spans="1:8" ht="17.399999999999999" x14ac:dyDescent="0.3">
      <c r="A3" s="513" t="s">
        <v>3</v>
      </c>
      <c r="B3" s="332"/>
      <c r="C3" s="330"/>
      <c r="D3" s="170">
        <v>280.60000000000002</v>
      </c>
      <c r="E3" s="517" t="s">
        <v>129</v>
      </c>
      <c r="F3" s="332"/>
      <c r="G3" s="332"/>
      <c r="H3" s="330"/>
    </row>
    <row r="4" spans="1:8" ht="18" customHeight="1" x14ac:dyDescent="0.3">
      <c r="A4" s="508" t="s">
        <v>6</v>
      </c>
      <c r="B4" s="332"/>
      <c r="C4" s="330"/>
      <c r="D4" s="170">
        <v>400</v>
      </c>
      <c r="E4" s="517" t="s">
        <v>129</v>
      </c>
      <c r="F4" s="332"/>
      <c r="G4" s="332"/>
      <c r="H4" s="330"/>
    </row>
    <row r="5" spans="1:8" ht="18" customHeight="1" x14ac:dyDescent="0.3">
      <c r="A5" s="508" t="s">
        <v>7</v>
      </c>
      <c r="B5" s="332"/>
      <c r="C5" s="330"/>
      <c r="D5" s="170">
        <v>1</v>
      </c>
      <c r="E5" s="517"/>
      <c r="F5" s="332"/>
      <c r="G5" s="332"/>
      <c r="H5" s="330"/>
    </row>
    <row r="6" spans="1:8" ht="21" x14ac:dyDescent="0.4">
      <c r="A6" s="503" t="s">
        <v>72</v>
      </c>
      <c r="B6" s="330"/>
      <c r="C6" s="504"/>
      <c r="D6" s="332"/>
      <c r="E6" s="332"/>
      <c r="F6" s="332"/>
      <c r="G6" s="332"/>
      <c r="H6" s="330"/>
    </row>
    <row r="7" spans="1:8" ht="21" x14ac:dyDescent="0.4">
      <c r="A7" s="503" t="s">
        <v>9</v>
      </c>
      <c r="B7" s="330"/>
      <c r="C7" s="504"/>
      <c r="D7" s="332"/>
      <c r="E7" s="332"/>
      <c r="F7" s="332"/>
      <c r="G7" s="332"/>
      <c r="H7" s="330"/>
    </row>
    <row r="8" spans="1:8" ht="27.6" x14ac:dyDescent="0.3">
      <c r="A8" s="508" t="s">
        <v>61</v>
      </c>
      <c r="B8" s="330"/>
      <c r="C8" s="101" t="s">
        <v>11</v>
      </c>
      <c r="D8" s="518" t="s">
        <v>12</v>
      </c>
      <c r="E8" s="332"/>
      <c r="F8" s="330"/>
      <c r="G8" s="102" t="s">
        <v>130</v>
      </c>
      <c r="H8" s="103" t="s">
        <v>84</v>
      </c>
    </row>
    <row r="9" spans="1:8" ht="14.4" x14ac:dyDescent="0.25">
      <c r="A9" s="507" t="s">
        <v>19</v>
      </c>
      <c r="B9" s="104" t="s">
        <v>20</v>
      </c>
      <c r="C9" s="104" t="s">
        <v>250</v>
      </c>
      <c r="D9" s="492">
        <f>D4</f>
        <v>400</v>
      </c>
      <c r="E9" s="332"/>
      <c r="F9" s="330"/>
      <c r="G9" s="104">
        <f>D5*1</f>
        <v>1</v>
      </c>
      <c r="H9" s="104">
        <v>90</v>
      </c>
    </row>
    <row r="10" spans="1:8" ht="14.4" x14ac:dyDescent="0.25">
      <c r="A10" s="500"/>
      <c r="B10" s="104" t="s">
        <v>23</v>
      </c>
      <c r="C10" s="104" t="s">
        <v>275</v>
      </c>
      <c r="D10" s="492">
        <f>D4</f>
        <v>400</v>
      </c>
      <c r="E10" s="332"/>
      <c r="F10" s="330"/>
      <c r="G10" s="104">
        <f>D5*1</f>
        <v>1</v>
      </c>
      <c r="H10" s="104">
        <v>90</v>
      </c>
    </row>
    <row r="11" spans="1:8" ht="14.4" x14ac:dyDescent="0.25">
      <c r="A11" s="501"/>
      <c r="B11" s="104" t="s">
        <v>26</v>
      </c>
      <c r="C11" s="104" t="s">
        <v>252</v>
      </c>
      <c r="D11" s="492">
        <f>D3-2.5</f>
        <v>278.10000000000002</v>
      </c>
      <c r="E11" s="332"/>
      <c r="F11" s="330"/>
      <c r="G11" s="104">
        <f>D5*2</f>
        <v>2</v>
      </c>
      <c r="H11" s="104">
        <v>90</v>
      </c>
    </row>
    <row r="12" spans="1:8" ht="14.4" x14ac:dyDescent="0.25">
      <c r="A12" s="499" t="s">
        <v>29</v>
      </c>
      <c r="B12" s="104" t="s">
        <v>283</v>
      </c>
      <c r="C12" s="104" t="s">
        <v>254</v>
      </c>
      <c r="D12" s="492">
        <f>D3-2.5</f>
        <v>278.10000000000002</v>
      </c>
      <c r="E12" s="332"/>
      <c r="F12" s="330"/>
      <c r="G12" s="104">
        <f>D5*2</f>
        <v>2</v>
      </c>
      <c r="H12" s="104">
        <v>90</v>
      </c>
    </row>
    <row r="13" spans="1:8" ht="14.4" x14ac:dyDescent="0.25">
      <c r="A13" s="500"/>
      <c r="B13" s="104" t="s">
        <v>284</v>
      </c>
      <c r="C13" s="104" t="s">
        <v>256</v>
      </c>
      <c r="D13" s="492">
        <f>D3-2.5</f>
        <v>278.10000000000002</v>
      </c>
      <c r="E13" s="332"/>
      <c r="F13" s="330"/>
      <c r="G13" s="104">
        <f>D5*2</f>
        <v>2</v>
      </c>
      <c r="H13" s="104">
        <v>90</v>
      </c>
    </row>
    <row r="14" spans="1:8" ht="14.4" x14ac:dyDescent="0.25">
      <c r="A14" s="500"/>
      <c r="B14" s="104" t="s">
        <v>278</v>
      </c>
      <c r="C14" s="104" t="s">
        <v>254</v>
      </c>
      <c r="D14" s="492">
        <f>D3-3.5</f>
        <v>277.10000000000002</v>
      </c>
      <c r="E14" s="332"/>
      <c r="F14" s="330"/>
      <c r="G14" s="104">
        <f>D5*2</f>
        <v>2</v>
      </c>
      <c r="H14" s="104">
        <v>90</v>
      </c>
    </row>
    <row r="15" spans="1:8" ht="14.4" x14ac:dyDescent="0.25">
      <c r="A15" s="500"/>
      <c r="B15" s="104" t="s">
        <v>279</v>
      </c>
      <c r="C15" s="104" t="s">
        <v>256</v>
      </c>
      <c r="D15" s="492">
        <f>D3-3.5</f>
        <v>277.10000000000002</v>
      </c>
      <c r="E15" s="332"/>
      <c r="F15" s="330"/>
      <c r="G15" s="104">
        <f>D5*2</f>
        <v>2</v>
      </c>
      <c r="H15" s="104">
        <v>90</v>
      </c>
    </row>
    <row r="16" spans="1:8" ht="14.4" x14ac:dyDescent="0.25">
      <c r="A16" s="500"/>
      <c r="B16" s="104" t="s">
        <v>36</v>
      </c>
      <c r="C16" s="104" t="s">
        <v>258</v>
      </c>
      <c r="D16" s="492">
        <f>(D4+6.3)/4</f>
        <v>101.575</v>
      </c>
      <c r="E16" s="332"/>
      <c r="F16" s="330"/>
      <c r="G16" s="104">
        <f>D5*8</f>
        <v>8</v>
      </c>
      <c r="H16" s="104">
        <v>90</v>
      </c>
    </row>
    <row r="17" spans="1:8" ht="14.4" x14ac:dyDescent="0.25">
      <c r="A17" s="501"/>
      <c r="B17" s="104" t="s">
        <v>176</v>
      </c>
      <c r="C17" s="104" t="s">
        <v>269</v>
      </c>
      <c r="D17" s="492">
        <f>D3-3.5</f>
        <v>277.10000000000002</v>
      </c>
      <c r="E17" s="332"/>
      <c r="F17" s="330"/>
      <c r="G17" s="104">
        <f>D5*1</f>
        <v>1</v>
      </c>
      <c r="H17" s="104">
        <v>90</v>
      </c>
    </row>
    <row r="18" spans="1:8" ht="15" customHeight="1" x14ac:dyDescent="0.3">
      <c r="A18" s="654" t="s">
        <v>39</v>
      </c>
      <c r="B18" s="653" t="s">
        <v>270</v>
      </c>
      <c r="C18" s="655"/>
      <c r="D18" s="652" t="s">
        <v>3</v>
      </c>
      <c r="E18" s="650" t="s">
        <v>41</v>
      </c>
      <c r="F18" s="336"/>
      <c r="G18" s="651"/>
      <c r="H18" s="651"/>
    </row>
    <row r="19" spans="1:8" ht="15" customHeight="1" x14ac:dyDescent="0.3">
      <c r="A19" s="500"/>
      <c r="B19" s="354"/>
      <c r="C19" s="354"/>
      <c r="D19" s="342"/>
      <c r="E19" s="337"/>
      <c r="F19" s="339"/>
      <c r="G19" s="342"/>
      <c r="H19" s="342"/>
    </row>
    <row r="20" spans="1:8" ht="14.4" x14ac:dyDescent="0.25">
      <c r="A20" s="500"/>
      <c r="B20" s="354"/>
      <c r="C20" s="354"/>
      <c r="D20" s="166">
        <f>D12-13.2</f>
        <v>264.90000000000003</v>
      </c>
      <c r="E20" s="629">
        <f>D16-11.5</f>
        <v>90.075000000000003</v>
      </c>
      <c r="F20" s="330"/>
      <c r="G20" s="159">
        <f>D5*2</f>
        <v>2</v>
      </c>
      <c r="H20" s="104" t="s">
        <v>285</v>
      </c>
    </row>
    <row r="21" spans="1:8" ht="15.75" customHeight="1" x14ac:dyDescent="0.25">
      <c r="A21" s="501"/>
      <c r="B21" s="342"/>
      <c r="C21" s="342"/>
      <c r="D21" s="166">
        <f>D14:F14-13.2</f>
        <v>263.90000000000003</v>
      </c>
      <c r="E21" s="629">
        <f>D16-11.5</f>
        <v>90.075000000000003</v>
      </c>
      <c r="F21" s="330"/>
      <c r="G21" s="159">
        <f>D5*2</f>
        <v>2</v>
      </c>
      <c r="H21" s="104" t="s">
        <v>286</v>
      </c>
    </row>
    <row r="22" spans="1:8" ht="15.75" customHeight="1" x14ac:dyDescent="0.3">
      <c r="A22" s="107" t="s">
        <v>42</v>
      </c>
      <c r="B22" s="104">
        <v>7038</v>
      </c>
      <c r="C22" s="104"/>
      <c r="D22" s="494"/>
      <c r="E22" s="332"/>
      <c r="F22" s="330"/>
      <c r="G22" s="104">
        <f>(D20*8)+(E20*8)</f>
        <v>2839.8</v>
      </c>
      <c r="H22" s="104" t="s">
        <v>43</v>
      </c>
    </row>
    <row r="23" spans="1:8" ht="15.75" customHeight="1" x14ac:dyDescent="0.25">
      <c r="A23" s="499" t="s">
        <v>44</v>
      </c>
      <c r="B23" s="104" t="s">
        <v>271</v>
      </c>
      <c r="C23" s="104"/>
      <c r="D23" s="493"/>
      <c r="E23" s="332"/>
      <c r="F23" s="330"/>
      <c r="G23" s="104">
        <f>D5*36</f>
        <v>36</v>
      </c>
      <c r="H23" s="104"/>
    </row>
    <row r="24" spans="1:8" ht="15.75" customHeight="1" x14ac:dyDescent="0.25">
      <c r="A24" s="500"/>
      <c r="B24" s="104" t="s">
        <v>271</v>
      </c>
      <c r="C24" s="104"/>
      <c r="D24" s="493"/>
      <c r="E24" s="332"/>
      <c r="F24" s="330"/>
      <c r="G24" s="104">
        <f>D5*10</f>
        <v>10</v>
      </c>
      <c r="H24" s="104"/>
    </row>
    <row r="25" spans="1:8" ht="15.75" customHeight="1" x14ac:dyDescent="0.25">
      <c r="A25" s="501"/>
      <c r="B25" s="104" t="s">
        <v>272</v>
      </c>
      <c r="C25" s="104"/>
      <c r="D25" s="493"/>
      <c r="E25" s="332"/>
      <c r="F25" s="330"/>
      <c r="G25" s="104">
        <f>D5*12</f>
        <v>12</v>
      </c>
      <c r="H25" s="104"/>
    </row>
    <row r="26" spans="1:8" ht="15.75" customHeight="1" x14ac:dyDescent="0.3">
      <c r="A26" s="107" t="s">
        <v>70</v>
      </c>
      <c r="B26" s="104" t="s">
        <v>101</v>
      </c>
      <c r="C26" s="104"/>
      <c r="D26" s="493"/>
      <c r="E26" s="332"/>
      <c r="F26" s="330"/>
      <c r="G26" s="104">
        <f>D5*12</f>
        <v>12</v>
      </c>
      <c r="H26" s="104"/>
    </row>
    <row r="27" spans="1:8" ht="15.75" customHeight="1" x14ac:dyDescent="0.25">
      <c r="A27" s="109" t="s">
        <v>80</v>
      </c>
      <c r="B27" s="104">
        <v>7038</v>
      </c>
      <c r="C27" s="104"/>
      <c r="D27" s="493"/>
      <c r="E27" s="332"/>
      <c r="F27" s="330"/>
      <c r="G27" s="104">
        <f>D5*4</f>
        <v>4</v>
      </c>
      <c r="H27" s="104"/>
    </row>
    <row r="28" spans="1:8" ht="15.75" customHeight="1" x14ac:dyDescent="0.25">
      <c r="A28" s="499" t="s">
        <v>53</v>
      </c>
      <c r="B28" s="104" t="s">
        <v>261</v>
      </c>
      <c r="C28" s="104"/>
      <c r="D28" s="493"/>
      <c r="E28" s="332"/>
      <c r="F28" s="330"/>
      <c r="G28" s="104">
        <f>D5*4</f>
        <v>4</v>
      </c>
      <c r="H28" s="104"/>
    </row>
    <row r="29" spans="1:8" ht="15.75" customHeight="1" x14ac:dyDescent="0.25">
      <c r="A29" s="501"/>
      <c r="B29" s="104" t="s">
        <v>262</v>
      </c>
      <c r="C29" s="104"/>
      <c r="D29" s="493"/>
      <c r="E29" s="332"/>
      <c r="F29" s="330"/>
      <c r="G29" s="104">
        <f>D5*4</f>
        <v>4</v>
      </c>
      <c r="H29" s="104"/>
    </row>
    <row r="30" spans="1:8" ht="15.75" customHeight="1" x14ac:dyDescent="0.25">
      <c r="A30" s="174" t="s">
        <v>241</v>
      </c>
      <c r="B30" s="104" t="s">
        <v>263</v>
      </c>
      <c r="C30" s="104"/>
      <c r="D30" s="493"/>
      <c r="E30" s="332"/>
      <c r="F30" s="330"/>
      <c r="G30" s="104">
        <f>D5*2</f>
        <v>2</v>
      </c>
      <c r="H30" s="104"/>
    </row>
    <row r="31" spans="1:8" ht="15.75" customHeight="1" x14ac:dyDescent="0.3">
      <c r="A31" s="107" t="s">
        <v>54</v>
      </c>
      <c r="B31" s="104" t="s">
        <v>273</v>
      </c>
      <c r="C31" s="104"/>
      <c r="D31" s="493"/>
      <c r="E31" s="332"/>
      <c r="F31" s="330"/>
      <c r="G31" s="104">
        <f>D5*1</f>
        <v>1</v>
      </c>
      <c r="H31" s="104"/>
    </row>
    <row r="32" spans="1:8" ht="15.75" customHeight="1" x14ac:dyDescent="0.3">
      <c r="A32" s="513" t="s">
        <v>56</v>
      </c>
      <c r="B32" s="330"/>
      <c r="C32" s="491"/>
      <c r="D32" s="332"/>
      <c r="E32" s="332"/>
      <c r="F32" s="332"/>
      <c r="G32" s="332"/>
      <c r="H32" s="330"/>
    </row>
    <row r="33" spans="1:8" ht="15.75" customHeight="1" x14ac:dyDescent="0.3">
      <c r="A33" s="513" t="s">
        <v>57</v>
      </c>
      <c r="B33" s="330"/>
      <c r="C33" s="491"/>
      <c r="D33" s="332"/>
      <c r="E33" s="332"/>
      <c r="F33" s="332"/>
      <c r="G33" s="332"/>
      <c r="H33" s="330"/>
    </row>
    <row r="34" spans="1:8" ht="18" customHeight="1" x14ac:dyDescent="0.3">
      <c r="A34" s="525" t="s">
        <v>58</v>
      </c>
      <c r="B34" s="335"/>
      <c r="C34" s="335"/>
      <c r="D34" s="335"/>
      <c r="E34" s="336"/>
      <c r="F34" s="656"/>
      <c r="G34" s="335"/>
      <c r="H34" s="336"/>
    </row>
    <row r="35" spans="1:8" ht="15" customHeight="1" x14ac:dyDescent="0.3">
      <c r="A35" s="327"/>
      <c r="B35" s="327"/>
      <c r="C35" s="327"/>
      <c r="D35" s="327"/>
      <c r="E35" s="361"/>
      <c r="F35" s="337"/>
      <c r="G35" s="338"/>
      <c r="H35" s="339"/>
    </row>
    <row r="36" spans="1:8" ht="15.75" customHeight="1" x14ac:dyDescent="0.3">
      <c r="A36" s="338"/>
      <c r="B36" s="338"/>
      <c r="C36" s="338"/>
      <c r="D36" s="338"/>
      <c r="E36" s="339"/>
      <c r="F36" s="491" t="s">
        <v>59</v>
      </c>
      <c r="G36" s="332"/>
      <c r="H36" s="330"/>
    </row>
    <row r="37" spans="1:8" ht="15.75" customHeight="1" x14ac:dyDescent="0.3">
      <c r="A37" s="55"/>
      <c r="B37" s="55"/>
      <c r="C37" s="490"/>
      <c r="D37" s="327"/>
      <c r="E37" s="327"/>
      <c r="F37" s="327"/>
      <c r="G37" s="327"/>
      <c r="H37" s="112"/>
    </row>
    <row r="38" spans="1:8" ht="15.75" customHeight="1" x14ac:dyDescent="0.4">
      <c r="A38" s="70"/>
      <c r="B38" s="56"/>
      <c r="C38" s="112"/>
      <c r="D38" s="2"/>
      <c r="E38" s="32"/>
      <c r="F38" s="32"/>
      <c r="G38" s="112"/>
      <c r="H38" s="122"/>
    </row>
    <row r="39" spans="1:8" ht="15.75" customHeight="1" x14ac:dyDescent="0.4">
      <c r="A39" s="70"/>
      <c r="B39" s="32"/>
      <c r="C39" s="32"/>
      <c r="D39" s="32"/>
      <c r="E39" s="32"/>
      <c r="F39" s="32"/>
      <c r="G39" s="112"/>
      <c r="H39" s="122"/>
    </row>
    <row r="40" spans="1:8" ht="15.75" customHeight="1" x14ac:dyDescent="0.4">
      <c r="A40" s="70"/>
      <c r="B40" s="32"/>
      <c r="C40" s="32"/>
      <c r="D40" s="32"/>
      <c r="E40" s="32"/>
      <c r="F40" s="32"/>
      <c r="G40" s="112"/>
      <c r="H40" s="122"/>
    </row>
    <row r="41" spans="1:8" ht="15.75" customHeight="1" x14ac:dyDescent="0.4">
      <c r="A41" s="70"/>
      <c r="B41" s="32"/>
      <c r="C41" s="32"/>
      <c r="D41" s="32"/>
      <c r="E41" s="32"/>
      <c r="F41" s="32"/>
      <c r="G41" s="96"/>
      <c r="H41" s="122"/>
    </row>
    <row r="42" spans="1:8" ht="15.75" customHeight="1" x14ac:dyDescent="0.4">
      <c r="A42" s="70"/>
      <c r="B42" s="32"/>
      <c r="C42" s="32"/>
      <c r="D42" s="32"/>
      <c r="E42" s="33"/>
      <c r="F42" s="32"/>
      <c r="G42" s="626"/>
      <c r="H42" s="327"/>
    </row>
    <row r="43" spans="1:8" ht="15.75" customHeight="1" x14ac:dyDescent="0.4">
      <c r="A43" s="70"/>
      <c r="B43" s="32"/>
      <c r="C43" s="372"/>
      <c r="D43" s="327"/>
      <c r="E43" s="327"/>
      <c r="F43" s="327"/>
      <c r="G43" s="327"/>
      <c r="H43" s="112"/>
    </row>
    <row r="44" spans="1:8" ht="15.75" customHeight="1" x14ac:dyDescent="0.4">
      <c r="A44" s="70"/>
      <c r="B44" s="32"/>
      <c r="C44" s="32"/>
      <c r="D44" s="32"/>
      <c r="E44" s="32"/>
      <c r="F44" s="32"/>
      <c r="G44" s="112"/>
      <c r="H44" s="112"/>
    </row>
    <row r="45" spans="1:8" ht="15.75" customHeight="1" x14ac:dyDescent="0.3"/>
    <row r="46" spans="1:8" ht="15.75" customHeight="1" x14ac:dyDescent="0.3">
      <c r="C46" s="56"/>
    </row>
    <row r="47" spans="1:8" ht="15.75" customHeight="1" x14ac:dyDescent="0.3"/>
    <row r="48" spans="1:8" ht="15.75" customHeight="1" x14ac:dyDescent="0.3"/>
    <row r="49" spans="2:7" ht="15.75" customHeight="1" x14ac:dyDescent="0.4">
      <c r="B49" s="328"/>
      <c r="C49" s="327"/>
      <c r="D49" s="327"/>
      <c r="E49" s="327"/>
      <c r="F49" s="327"/>
      <c r="G49" s="327"/>
    </row>
    <row r="50" spans="2:7" ht="15.75" customHeight="1" x14ac:dyDescent="0.3"/>
    <row r="51" spans="2:7" ht="15.75" customHeight="1" x14ac:dyDescent="0.3"/>
    <row r="52" spans="2:7" ht="15.75" customHeight="1" x14ac:dyDescent="0.3"/>
    <row r="53" spans="2:7" ht="15.75" customHeight="1" x14ac:dyDescent="0.3"/>
    <row r="54" spans="2:7" ht="15.75" customHeight="1" x14ac:dyDescent="0.3"/>
    <row r="55" spans="2:7" ht="15.75" customHeight="1" x14ac:dyDescent="0.3"/>
    <row r="56" spans="2:7" ht="15.75" customHeight="1" x14ac:dyDescent="0.3"/>
    <row r="57" spans="2:7" ht="15.75" customHeight="1" x14ac:dyDescent="0.3"/>
    <row r="58" spans="2:7" ht="15.75" customHeight="1" x14ac:dyDescent="0.3"/>
    <row r="59" spans="2:7" ht="15.75" customHeight="1" x14ac:dyDescent="0.3"/>
    <row r="60" spans="2:7" ht="15.75" customHeight="1" x14ac:dyDescent="0.3"/>
    <row r="61" spans="2:7" ht="15.75" customHeight="1" x14ac:dyDescent="0.3"/>
    <row r="62" spans="2:7" ht="15.75" customHeight="1" x14ac:dyDescent="0.3"/>
    <row r="63" spans="2:7" ht="15.75" customHeight="1" x14ac:dyDescent="0.3"/>
    <row r="64" spans="2: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</sheetData>
  <mergeCells count="57">
    <mergeCell ref="C43:G43"/>
    <mergeCell ref="B49:G49"/>
    <mergeCell ref="G42:H42"/>
    <mergeCell ref="D26:F26"/>
    <mergeCell ref="D25:F25"/>
    <mergeCell ref="C37:G37"/>
    <mergeCell ref="D27:F27"/>
    <mergeCell ref="D28:F28"/>
    <mergeCell ref="F34:H35"/>
    <mergeCell ref="F36:H36"/>
    <mergeCell ref="D30:F30"/>
    <mergeCell ref="D29:F29"/>
    <mergeCell ref="A34:E36"/>
    <mergeCell ref="C33:H33"/>
    <mergeCell ref="C32:H32"/>
    <mergeCell ref="D31:F31"/>
    <mergeCell ref="A28:A29"/>
    <mergeCell ref="A18:A21"/>
    <mergeCell ref="B18:B21"/>
    <mergeCell ref="A33:B33"/>
    <mergeCell ref="A32:B32"/>
    <mergeCell ref="D24:F24"/>
    <mergeCell ref="E18:F19"/>
    <mergeCell ref="D18:D19"/>
    <mergeCell ref="A12:A17"/>
    <mergeCell ref="A9:A11"/>
    <mergeCell ref="C18:C21"/>
    <mergeCell ref="E20:F20"/>
    <mergeCell ref="E21:F21"/>
    <mergeCell ref="D23:F23"/>
    <mergeCell ref="D22:F22"/>
    <mergeCell ref="A23:A25"/>
    <mergeCell ref="H18:H19"/>
    <mergeCell ref="D17:F17"/>
    <mergeCell ref="D16:F16"/>
    <mergeCell ref="D10:F10"/>
    <mergeCell ref="D9:F9"/>
    <mergeCell ref="D12:F12"/>
    <mergeCell ref="D11:F11"/>
    <mergeCell ref="D14:F14"/>
    <mergeCell ref="D13:F13"/>
    <mergeCell ref="D15:F15"/>
    <mergeCell ref="G18:G19"/>
    <mergeCell ref="E3:H3"/>
    <mergeCell ref="A1:H1"/>
    <mergeCell ref="A2:H2"/>
    <mergeCell ref="A3:C3"/>
    <mergeCell ref="E4:H4"/>
    <mergeCell ref="D8:F8"/>
    <mergeCell ref="C7:H7"/>
    <mergeCell ref="C6:H6"/>
    <mergeCell ref="A6:B6"/>
    <mergeCell ref="A4:C4"/>
    <mergeCell ref="A5:C5"/>
    <mergeCell ref="E5:H5"/>
    <mergeCell ref="A8:B8"/>
    <mergeCell ref="A7:B7"/>
  </mergeCell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Views>
    <sheetView workbookViewId="0"/>
  </sheetViews>
  <sheetFormatPr baseColWidth="10" defaultColWidth="14.44140625" defaultRowHeight="15" customHeight="1" x14ac:dyDescent="0.3"/>
  <cols>
    <col min="1" max="1" width="21.109375" customWidth="1"/>
    <col min="2" max="2" width="18.44140625" customWidth="1"/>
    <col min="3" max="3" width="11" customWidth="1"/>
    <col min="4" max="4" width="8.44140625" customWidth="1"/>
    <col min="5" max="5" width="8.6640625" customWidth="1"/>
    <col min="6" max="6" width="7.109375" customWidth="1"/>
    <col min="7" max="7" width="11" customWidth="1"/>
  </cols>
  <sheetData>
    <row r="1" spans="1:7" ht="21" x14ac:dyDescent="0.4">
      <c r="A1" s="659"/>
      <c r="B1" s="510"/>
      <c r="C1" s="510"/>
      <c r="D1" s="510"/>
      <c r="E1" s="510"/>
      <c r="F1" s="510"/>
      <c r="G1" s="511"/>
    </row>
    <row r="2" spans="1:7" ht="21" x14ac:dyDescent="0.4">
      <c r="A2" s="658" t="s">
        <v>287</v>
      </c>
      <c r="B2" s="510"/>
      <c r="C2" s="510"/>
      <c r="D2" s="510"/>
      <c r="E2" s="510"/>
      <c r="F2" s="510"/>
      <c r="G2" s="511"/>
    </row>
    <row r="3" spans="1:7" ht="21" x14ac:dyDescent="0.4">
      <c r="A3" s="176" t="s">
        <v>3</v>
      </c>
      <c r="B3" s="155">
        <v>180</v>
      </c>
      <c r="C3" s="489" t="s">
        <v>4</v>
      </c>
      <c r="D3" s="332"/>
      <c r="E3" s="332"/>
      <c r="F3" s="332"/>
      <c r="G3" s="332"/>
    </row>
    <row r="4" spans="1:7" ht="21" x14ac:dyDescent="0.4">
      <c r="A4" s="176" t="s">
        <v>6</v>
      </c>
      <c r="B4" s="155">
        <v>114</v>
      </c>
      <c r="C4" s="177" t="s">
        <v>4</v>
      </c>
      <c r="D4" s="178"/>
      <c r="E4" s="178"/>
      <c r="F4" s="178"/>
      <c r="G4" s="178"/>
    </row>
    <row r="5" spans="1:7" ht="21" x14ac:dyDescent="0.4">
      <c r="A5" s="660" t="s">
        <v>72</v>
      </c>
      <c r="B5" s="330"/>
      <c r="C5" s="345"/>
      <c r="D5" s="332"/>
      <c r="E5" s="332"/>
      <c r="F5" s="332"/>
      <c r="G5" s="330"/>
    </row>
    <row r="6" spans="1:7" ht="21" x14ac:dyDescent="0.4">
      <c r="A6" s="660" t="s">
        <v>200</v>
      </c>
      <c r="B6" s="330"/>
      <c r="C6" s="345"/>
      <c r="D6" s="332"/>
      <c r="E6" s="332"/>
      <c r="F6" s="332"/>
      <c r="G6" s="330"/>
    </row>
    <row r="7" spans="1:7" ht="15" customHeight="1" x14ac:dyDescent="0.3">
      <c r="A7" s="661" t="s">
        <v>10</v>
      </c>
      <c r="B7" s="336"/>
      <c r="C7" s="353" t="s">
        <v>11</v>
      </c>
      <c r="D7" s="616" t="s">
        <v>12</v>
      </c>
      <c r="E7" s="336"/>
      <c r="F7" s="363" t="s">
        <v>13</v>
      </c>
      <c r="G7" s="363" t="s">
        <v>14</v>
      </c>
    </row>
    <row r="8" spans="1:7" ht="14.4" x14ac:dyDescent="0.3">
      <c r="A8" s="662"/>
      <c r="B8" s="339"/>
      <c r="C8" s="342"/>
      <c r="D8" s="337"/>
      <c r="E8" s="339"/>
      <c r="F8" s="342"/>
      <c r="G8" s="342"/>
    </row>
    <row r="9" spans="1:7" ht="17.399999999999999" x14ac:dyDescent="0.3">
      <c r="A9" s="657" t="s">
        <v>19</v>
      </c>
      <c r="B9" s="140" t="s">
        <v>20</v>
      </c>
      <c r="C9" s="13" t="s">
        <v>288</v>
      </c>
      <c r="D9" s="346">
        <f>B4</f>
        <v>114</v>
      </c>
      <c r="E9" s="330"/>
      <c r="F9" s="13">
        <v>1</v>
      </c>
      <c r="G9" s="363">
        <v>90</v>
      </c>
    </row>
    <row r="10" spans="1:7" ht="17.399999999999999" x14ac:dyDescent="0.3">
      <c r="A10" s="500"/>
      <c r="B10" s="140" t="s">
        <v>23</v>
      </c>
      <c r="C10" s="13" t="s">
        <v>289</v>
      </c>
      <c r="D10" s="346">
        <f>B4-1</f>
        <v>113</v>
      </c>
      <c r="E10" s="330"/>
      <c r="F10" s="13">
        <v>1</v>
      </c>
      <c r="G10" s="354"/>
    </row>
    <row r="11" spans="1:7" ht="17.399999999999999" x14ac:dyDescent="0.3">
      <c r="A11" s="501"/>
      <c r="B11" s="140" t="s">
        <v>26</v>
      </c>
      <c r="C11" s="13" t="s">
        <v>290</v>
      </c>
      <c r="D11" s="346">
        <f>B3-3</f>
        <v>177</v>
      </c>
      <c r="E11" s="330"/>
      <c r="F11" s="13">
        <v>2</v>
      </c>
      <c r="G11" s="342"/>
    </row>
    <row r="12" spans="1:7" ht="17.399999999999999" x14ac:dyDescent="0.25">
      <c r="A12" s="179" t="s">
        <v>65</v>
      </c>
      <c r="B12" s="13" t="s">
        <v>291</v>
      </c>
      <c r="C12" s="362" t="s">
        <v>292</v>
      </c>
      <c r="D12" s="346">
        <f>B3-5</f>
        <v>175</v>
      </c>
      <c r="E12" s="330"/>
      <c r="F12" s="13">
        <v>2</v>
      </c>
      <c r="G12" s="363">
        <v>45</v>
      </c>
    </row>
    <row r="13" spans="1:7" ht="14.4" x14ac:dyDescent="0.25">
      <c r="A13" s="657" t="s">
        <v>66</v>
      </c>
      <c r="B13" s="13" t="s">
        <v>291</v>
      </c>
      <c r="C13" s="354"/>
      <c r="D13" s="346">
        <f>B3-4.5</f>
        <v>175.5</v>
      </c>
      <c r="E13" s="330"/>
      <c r="F13" s="13">
        <v>2</v>
      </c>
      <c r="G13" s="354"/>
    </row>
    <row r="14" spans="1:7" ht="14.4" x14ac:dyDescent="0.25">
      <c r="A14" s="501"/>
      <c r="B14" s="13" t="s">
        <v>293</v>
      </c>
      <c r="C14" s="342"/>
      <c r="D14" s="346">
        <f>(B4+1.5)/2</f>
        <v>57.75</v>
      </c>
      <c r="E14" s="330"/>
      <c r="F14" s="13">
        <v>4</v>
      </c>
      <c r="G14" s="342"/>
    </row>
    <row r="15" spans="1:7" ht="14.4" x14ac:dyDescent="0.25">
      <c r="A15" s="657" t="s">
        <v>294</v>
      </c>
      <c r="B15" s="13" t="s">
        <v>295</v>
      </c>
      <c r="C15" s="15" t="s">
        <v>296</v>
      </c>
      <c r="D15" s="346">
        <f>D14-8</f>
        <v>49.75</v>
      </c>
      <c r="E15" s="330"/>
      <c r="F15" s="13">
        <v>2</v>
      </c>
      <c r="G15" s="363">
        <v>90</v>
      </c>
    </row>
    <row r="16" spans="1:7" ht="14.4" x14ac:dyDescent="0.25">
      <c r="A16" s="500"/>
      <c r="B16" s="13" t="s">
        <v>297</v>
      </c>
      <c r="C16" s="13" t="s">
        <v>298</v>
      </c>
      <c r="D16" s="346">
        <v>8</v>
      </c>
      <c r="E16" s="330"/>
      <c r="F16" s="13">
        <v>2</v>
      </c>
      <c r="G16" s="354"/>
    </row>
    <row r="17" spans="1:7" ht="14.4" x14ac:dyDescent="0.25">
      <c r="A17" s="501"/>
      <c r="B17" s="13" t="s">
        <v>241</v>
      </c>
      <c r="C17" s="13" t="s">
        <v>299</v>
      </c>
      <c r="D17" s="346">
        <v>8</v>
      </c>
      <c r="E17" s="330"/>
      <c r="F17" s="13">
        <v>1</v>
      </c>
      <c r="G17" s="342"/>
    </row>
    <row r="18" spans="1:7" ht="17.399999999999999" x14ac:dyDescent="0.3">
      <c r="A18" s="180" t="s">
        <v>300</v>
      </c>
      <c r="B18" s="13" t="s">
        <v>301</v>
      </c>
      <c r="C18" s="13" t="s">
        <v>302</v>
      </c>
      <c r="D18" s="346">
        <v>1.2</v>
      </c>
      <c r="E18" s="330"/>
      <c r="F18" s="13">
        <v>8</v>
      </c>
      <c r="G18" s="13">
        <v>90</v>
      </c>
    </row>
    <row r="19" spans="1:7" ht="14.4" x14ac:dyDescent="0.25">
      <c r="A19" s="666" t="s">
        <v>303</v>
      </c>
      <c r="B19" s="664"/>
      <c r="C19" s="336"/>
      <c r="D19" s="53" t="s">
        <v>3</v>
      </c>
      <c r="E19" s="53" t="s">
        <v>6</v>
      </c>
      <c r="F19" s="13"/>
      <c r="G19" s="363">
        <v>90</v>
      </c>
    </row>
    <row r="20" spans="1:7" ht="15" customHeight="1" x14ac:dyDescent="0.25">
      <c r="A20" s="500"/>
      <c r="B20" s="181" t="s">
        <v>304</v>
      </c>
      <c r="C20" s="182"/>
      <c r="D20" s="183">
        <f t="shared" ref="D20:D21" si="0">D12-4</f>
        <v>171</v>
      </c>
      <c r="E20" s="183">
        <f>D14-4</f>
        <v>53.75</v>
      </c>
      <c r="F20" s="159">
        <v>1</v>
      </c>
      <c r="G20" s="354"/>
    </row>
    <row r="21" spans="1:7" ht="15" customHeight="1" x14ac:dyDescent="0.25">
      <c r="A21" s="501"/>
      <c r="B21" s="181" t="s">
        <v>66</v>
      </c>
      <c r="C21" s="184"/>
      <c r="D21" s="183">
        <f t="shared" si="0"/>
        <v>171.5</v>
      </c>
      <c r="E21" s="183">
        <f>D14-4</f>
        <v>53.75</v>
      </c>
      <c r="F21" s="159">
        <v>1</v>
      </c>
      <c r="G21" s="342"/>
    </row>
    <row r="22" spans="1:7" ht="15.75" customHeight="1" x14ac:dyDescent="0.3">
      <c r="A22" s="180" t="s">
        <v>42</v>
      </c>
      <c r="B22" s="13" t="s">
        <v>305</v>
      </c>
      <c r="C22" s="13"/>
      <c r="D22" s="346"/>
      <c r="E22" s="330"/>
      <c r="F22" s="53">
        <f>(D20*4)+(E20*4)</f>
        <v>899</v>
      </c>
      <c r="G22" s="13" t="s">
        <v>43</v>
      </c>
    </row>
    <row r="23" spans="1:7" ht="15.75" customHeight="1" x14ac:dyDescent="0.3">
      <c r="A23" s="180" t="s">
        <v>80</v>
      </c>
      <c r="B23" s="26" t="s">
        <v>306</v>
      </c>
      <c r="C23" s="26"/>
      <c r="D23" s="333"/>
      <c r="E23" s="330"/>
      <c r="F23" s="13">
        <v>2</v>
      </c>
      <c r="G23" s="13"/>
    </row>
    <row r="24" spans="1:7" ht="15" customHeight="1" x14ac:dyDescent="0.25">
      <c r="A24" s="185"/>
      <c r="B24" s="13" t="s">
        <v>187</v>
      </c>
      <c r="C24" s="13" t="s">
        <v>188</v>
      </c>
      <c r="D24" s="333"/>
      <c r="E24" s="330"/>
      <c r="F24" s="13">
        <v>20</v>
      </c>
      <c r="G24" s="13"/>
    </row>
    <row r="25" spans="1:7" ht="15" customHeight="1" x14ac:dyDescent="0.25">
      <c r="A25" s="657" t="s">
        <v>190</v>
      </c>
      <c r="B25" s="13" t="s">
        <v>307</v>
      </c>
      <c r="C25" s="13" t="s">
        <v>308</v>
      </c>
      <c r="D25" s="333"/>
      <c r="E25" s="330"/>
      <c r="F25" s="13">
        <v>8</v>
      </c>
      <c r="G25" s="13"/>
    </row>
    <row r="26" spans="1:7" ht="15" customHeight="1" x14ac:dyDescent="0.25">
      <c r="A26" s="500"/>
      <c r="B26" s="13" t="s">
        <v>191</v>
      </c>
      <c r="C26" s="13" t="s">
        <v>309</v>
      </c>
      <c r="D26" s="333"/>
      <c r="E26" s="330"/>
      <c r="F26" s="13">
        <v>6</v>
      </c>
      <c r="G26" s="13"/>
    </row>
    <row r="27" spans="1:7" ht="15" customHeight="1" x14ac:dyDescent="0.25">
      <c r="A27" s="139" t="s">
        <v>193</v>
      </c>
      <c r="B27" s="13" t="s">
        <v>310</v>
      </c>
      <c r="C27" s="13" t="s">
        <v>194</v>
      </c>
      <c r="D27" s="333"/>
      <c r="E27" s="330"/>
      <c r="F27" s="13">
        <v>6</v>
      </c>
      <c r="G27" s="13"/>
    </row>
    <row r="28" spans="1:7" ht="15.75" customHeight="1" x14ac:dyDescent="0.3">
      <c r="A28" s="665" t="s">
        <v>56</v>
      </c>
      <c r="B28" s="330"/>
      <c r="C28" s="331"/>
      <c r="D28" s="332"/>
      <c r="E28" s="332"/>
      <c r="F28" s="332"/>
      <c r="G28" s="330"/>
    </row>
    <row r="29" spans="1:7" ht="15.75" customHeight="1" x14ac:dyDescent="0.3">
      <c r="A29" s="665" t="s">
        <v>57</v>
      </c>
      <c r="B29" s="330"/>
      <c r="C29" s="331"/>
      <c r="D29" s="332"/>
      <c r="E29" s="332"/>
      <c r="F29" s="332"/>
      <c r="G29" s="330"/>
    </row>
    <row r="30" spans="1:7" ht="18" customHeight="1" x14ac:dyDescent="0.3">
      <c r="A30" s="667" t="s">
        <v>58</v>
      </c>
      <c r="B30" s="335"/>
      <c r="C30" s="335"/>
      <c r="D30" s="335"/>
      <c r="E30" s="336"/>
      <c r="F30" s="671"/>
      <c r="G30" s="361"/>
    </row>
    <row r="31" spans="1:7" ht="15" customHeight="1" x14ac:dyDescent="0.3">
      <c r="A31" s="506"/>
      <c r="B31" s="327"/>
      <c r="C31" s="327"/>
      <c r="D31" s="327"/>
      <c r="E31" s="361"/>
      <c r="F31" s="337"/>
      <c r="G31" s="339"/>
    </row>
    <row r="32" spans="1:7" ht="15.75" customHeight="1" x14ac:dyDescent="0.3">
      <c r="A32" s="668"/>
      <c r="B32" s="669"/>
      <c r="C32" s="669"/>
      <c r="D32" s="669"/>
      <c r="E32" s="670"/>
      <c r="F32" s="331" t="s">
        <v>59</v>
      </c>
      <c r="G32" s="330"/>
    </row>
    <row r="33" spans="1:7" ht="15.75" customHeight="1" x14ac:dyDescent="0.4">
      <c r="A33" s="186"/>
      <c r="B33" s="187"/>
      <c r="C33" s="187"/>
      <c r="D33" s="187"/>
      <c r="E33" s="187"/>
      <c r="F33" s="187"/>
      <c r="G33" s="187"/>
    </row>
    <row r="34" spans="1:7" ht="15.75" customHeight="1" x14ac:dyDescent="0.4">
      <c r="A34" s="186"/>
      <c r="B34" s="663"/>
      <c r="C34" s="327"/>
      <c r="D34" s="327"/>
      <c r="E34" s="187"/>
      <c r="F34" s="187"/>
      <c r="G34" s="187"/>
    </row>
    <row r="35" spans="1:7" ht="15.75" customHeight="1" x14ac:dyDescent="0.4">
      <c r="A35" s="186"/>
      <c r="B35" s="187"/>
      <c r="C35" s="187"/>
      <c r="D35" s="187"/>
      <c r="E35" s="187"/>
      <c r="F35" s="187"/>
      <c r="G35" s="187"/>
    </row>
    <row r="36" spans="1:7" ht="15.75" customHeight="1" x14ac:dyDescent="0.35">
      <c r="A36" s="188"/>
      <c r="B36" s="187"/>
      <c r="C36" s="189"/>
      <c r="D36" s="189"/>
      <c r="E36" s="189"/>
      <c r="F36" s="187"/>
      <c r="G36" s="187"/>
    </row>
    <row r="37" spans="1:7" ht="15.75" customHeight="1" x14ac:dyDescent="0.35">
      <c r="A37" s="188"/>
      <c r="B37" s="187"/>
      <c r="C37" s="189"/>
      <c r="D37" s="189"/>
      <c r="E37" s="161">
        <f>B3</f>
        <v>180</v>
      </c>
      <c r="F37" s="187"/>
      <c r="G37" s="187"/>
    </row>
    <row r="38" spans="1:7" ht="15.75" customHeight="1" x14ac:dyDescent="0.35">
      <c r="A38" s="188"/>
      <c r="B38" s="187"/>
      <c r="C38" s="189"/>
      <c r="D38" s="189"/>
      <c r="E38" s="189"/>
      <c r="F38" s="187"/>
      <c r="G38" s="187"/>
    </row>
    <row r="39" spans="1:7" ht="15.75" customHeight="1" x14ac:dyDescent="0.35">
      <c r="A39" s="188"/>
      <c r="B39" s="187"/>
      <c r="C39" s="189"/>
      <c r="D39" s="189"/>
      <c r="E39" s="189"/>
      <c r="F39" s="187"/>
      <c r="G39" s="187"/>
    </row>
    <row r="40" spans="1:7" ht="15.75" customHeight="1" x14ac:dyDescent="0.35">
      <c r="A40" s="188"/>
      <c r="B40" s="187"/>
      <c r="C40" s="189"/>
      <c r="D40" s="189"/>
      <c r="E40" s="189"/>
      <c r="F40" s="187"/>
      <c r="G40" s="187"/>
    </row>
    <row r="41" spans="1:7" ht="15.75" customHeight="1" x14ac:dyDescent="0.35">
      <c r="A41" s="188"/>
      <c r="B41" s="187"/>
      <c r="C41" s="189"/>
      <c r="D41" s="189"/>
      <c r="E41" s="190"/>
      <c r="F41" s="187"/>
      <c r="G41" s="187"/>
    </row>
    <row r="42" spans="1:7" ht="15.75" customHeight="1" x14ac:dyDescent="0.35">
      <c r="A42" s="188"/>
      <c r="B42" s="483">
        <f>B4</f>
        <v>114</v>
      </c>
      <c r="C42" s="327"/>
      <c r="D42" s="327"/>
      <c r="E42" s="189"/>
      <c r="F42" s="187"/>
      <c r="G42" s="187"/>
    </row>
    <row r="43" spans="1:7" ht="15.75" customHeight="1" x14ac:dyDescent="0.35">
      <c r="A43" s="188"/>
      <c r="B43" s="187"/>
      <c r="C43" s="189"/>
      <c r="D43" s="189"/>
      <c r="E43" s="189"/>
      <c r="F43" s="187"/>
      <c r="G43" s="187"/>
    </row>
    <row r="44" spans="1:7" ht="15.75" customHeight="1" x14ac:dyDescent="0.35">
      <c r="A44" s="188"/>
      <c r="B44" s="187"/>
      <c r="C44" s="189"/>
      <c r="D44" s="189"/>
      <c r="E44" s="189"/>
      <c r="F44" s="187"/>
      <c r="G44" s="187"/>
    </row>
    <row r="45" spans="1:7" ht="15.75" customHeight="1" x14ac:dyDescent="0.35">
      <c r="A45" s="188"/>
      <c r="B45" s="187"/>
      <c r="C45" s="189"/>
      <c r="D45" s="189"/>
      <c r="E45" s="189"/>
      <c r="F45" s="187"/>
      <c r="G45" s="187"/>
    </row>
    <row r="46" spans="1:7" ht="15.75" customHeight="1" x14ac:dyDescent="0.35">
      <c r="A46" s="188"/>
      <c r="B46" s="187"/>
      <c r="C46" s="189"/>
      <c r="D46" s="189"/>
      <c r="E46" s="189"/>
      <c r="F46" s="187"/>
      <c r="G46" s="187"/>
    </row>
    <row r="47" spans="1:7" ht="15.75" customHeight="1" x14ac:dyDescent="0.35">
      <c r="A47" s="188"/>
      <c r="B47" s="187"/>
      <c r="C47" s="189"/>
      <c r="D47" s="189"/>
      <c r="E47" s="189"/>
      <c r="F47" s="187"/>
      <c r="G47" s="187"/>
    </row>
    <row r="48" spans="1:7" ht="15.75" customHeight="1" x14ac:dyDescent="0.35">
      <c r="A48" s="188"/>
      <c r="B48" s="663"/>
      <c r="C48" s="327"/>
      <c r="D48" s="327"/>
      <c r="E48" s="189"/>
      <c r="F48" s="187"/>
      <c r="G48" s="187"/>
    </row>
    <row r="49" spans="1:7" ht="15.75" customHeight="1" x14ac:dyDescent="0.35">
      <c r="A49" s="188"/>
      <c r="B49" s="187"/>
      <c r="C49" s="189"/>
      <c r="D49" s="189"/>
      <c r="E49" s="189"/>
      <c r="F49" s="187"/>
      <c r="G49" s="187"/>
    </row>
    <row r="50" spans="1:7" ht="15.75" customHeight="1" x14ac:dyDescent="0.35">
      <c r="A50" s="188"/>
      <c r="B50" s="187"/>
      <c r="C50" s="189"/>
      <c r="D50" s="189"/>
      <c r="E50" s="189"/>
      <c r="F50" s="187"/>
      <c r="G50" s="187"/>
    </row>
    <row r="51" spans="1:7" ht="15.75" customHeight="1" x14ac:dyDescent="0.35">
      <c r="A51" s="188"/>
      <c r="B51" s="187"/>
      <c r="C51" s="189"/>
      <c r="D51" s="189"/>
      <c r="E51" s="189"/>
      <c r="F51" s="187"/>
      <c r="G51" s="187"/>
    </row>
    <row r="52" spans="1:7" ht="15.75" customHeight="1" x14ac:dyDescent="0.3"/>
    <row r="53" spans="1:7" ht="15.75" customHeight="1" x14ac:dyDescent="0.3"/>
    <row r="54" spans="1:7" ht="15.75" customHeight="1" x14ac:dyDescent="0.3"/>
    <row r="55" spans="1:7" ht="15.75" customHeight="1" x14ac:dyDescent="0.3"/>
    <row r="56" spans="1:7" ht="15.75" customHeight="1" x14ac:dyDescent="0.3"/>
    <row r="57" spans="1:7" ht="15.75" customHeight="1" x14ac:dyDescent="0.3"/>
    <row r="58" spans="1:7" ht="15.75" customHeight="1" x14ac:dyDescent="0.3"/>
    <row r="59" spans="1:7" ht="15.75" customHeight="1" x14ac:dyDescent="0.3"/>
    <row r="60" spans="1:7" ht="15.75" customHeight="1" x14ac:dyDescent="0.3"/>
    <row r="61" spans="1:7" ht="15.75" customHeight="1" x14ac:dyDescent="0.3"/>
    <row r="62" spans="1:7" ht="15.75" customHeight="1" x14ac:dyDescent="0.3"/>
    <row r="63" spans="1:7" ht="15.75" customHeight="1" x14ac:dyDescent="0.3"/>
    <row r="64" spans="1: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49">
    <mergeCell ref="F30:G31"/>
    <mergeCell ref="F32:G32"/>
    <mergeCell ref="C28:G28"/>
    <mergeCell ref="C29:G29"/>
    <mergeCell ref="G19:G21"/>
    <mergeCell ref="B48:D48"/>
    <mergeCell ref="D18:E18"/>
    <mergeCell ref="B19:C19"/>
    <mergeCell ref="D25:E25"/>
    <mergeCell ref="D27:E27"/>
    <mergeCell ref="D26:E26"/>
    <mergeCell ref="A28:B28"/>
    <mergeCell ref="A25:A26"/>
    <mergeCell ref="A19:A21"/>
    <mergeCell ref="A30:E32"/>
    <mergeCell ref="A29:B29"/>
    <mergeCell ref="B42:D42"/>
    <mergeCell ref="B34:D34"/>
    <mergeCell ref="D24:E24"/>
    <mergeCell ref="D22:E22"/>
    <mergeCell ref="D23:E23"/>
    <mergeCell ref="C3:G3"/>
    <mergeCell ref="A2:G2"/>
    <mergeCell ref="A1:G1"/>
    <mergeCell ref="A5:B5"/>
    <mergeCell ref="G9:G11"/>
    <mergeCell ref="A9:A11"/>
    <mergeCell ref="A6:B6"/>
    <mergeCell ref="C7:C8"/>
    <mergeCell ref="A7:B8"/>
    <mergeCell ref="F7:F8"/>
    <mergeCell ref="D7:E8"/>
    <mergeCell ref="D10:E10"/>
    <mergeCell ref="D9:E9"/>
    <mergeCell ref="A15:A17"/>
    <mergeCell ref="A13:A14"/>
    <mergeCell ref="C12:C14"/>
    <mergeCell ref="D16:E16"/>
    <mergeCell ref="C5:G5"/>
    <mergeCell ref="D15:E15"/>
    <mergeCell ref="G12:G14"/>
    <mergeCell ref="G15:G17"/>
    <mergeCell ref="C6:G6"/>
    <mergeCell ref="G7:G8"/>
    <mergeCell ref="D12:E12"/>
    <mergeCell ref="D11:E11"/>
    <mergeCell ref="D17:E17"/>
    <mergeCell ref="D14:E14"/>
    <mergeCell ref="D13:E13"/>
  </mergeCells>
  <pageMargins left="0.7" right="0.7" top="0.75" bottom="0.75" header="0" footer="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Views>
    <sheetView workbookViewId="0"/>
  </sheetViews>
  <sheetFormatPr baseColWidth="10" defaultColWidth="14.44140625" defaultRowHeight="15" customHeight="1" x14ac:dyDescent="0.3"/>
  <cols>
    <col min="1" max="1" width="25" customWidth="1"/>
    <col min="2" max="2" width="29.44140625" customWidth="1"/>
    <col min="3" max="3" width="10.5546875" customWidth="1"/>
    <col min="4" max="4" width="8.109375" customWidth="1"/>
    <col min="5" max="5" width="9.109375" customWidth="1"/>
    <col min="6" max="6" width="6.33203125" customWidth="1"/>
    <col min="7" max="7" width="13" customWidth="1"/>
  </cols>
  <sheetData>
    <row r="1" spans="1:7" ht="21" x14ac:dyDescent="0.4">
      <c r="A1" s="659"/>
      <c r="B1" s="510"/>
      <c r="C1" s="510"/>
      <c r="D1" s="510"/>
      <c r="E1" s="510"/>
      <c r="F1" s="510"/>
      <c r="G1" s="511"/>
    </row>
    <row r="2" spans="1:7" ht="21" x14ac:dyDescent="0.4">
      <c r="A2" s="343" t="s">
        <v>311</v>
      </c>
      <c r="B2" s="332"/>
      <c r="C2" s="332"/>
      <c r="D2" s="332"/>
      <c r="E2" s="332"/>
      <c r="F2" s="332"/>
      <c r="G2" s="330"/>
    </row>
    <row r="3" spans="1:7" ht="21" x14ac:dyDescent="0.4">
      <c r="A3" s="73" t="s">
        <v>3</v>
      </c>
      <c r="B3" s="191">
        <v>180</v>
      </c>
      <c r="C3" s="345" t="s">
        <v>4</v>
      </c>
      <c r="D3" s="332"/>
      <c r="E3" s="332"/>
      <c r="F3" s="332"/>
      <c r="G3" s="330"/>
    </row>
    <row r="4" spans="1:7" ht="21" x14ac:dyDescent="0.4">
      <c r="A4" s="73" t="s">
        <v>6</v>
      </c>
      <c r="B4" s="191">
        <v>70</v>
      </c>
      <c r="C4" s="345" t="s">
        <v>4</v>
      </c>
      <c r="D4" s="332"/>
      <c r="E4" s="332"/>
      <c r="F4" s="332"/>
      <c r="G4" s="330"/>
    </row>
    <row r="5" spans="1:7" ht="21" x14ac:dyDescent="0.4">
      <c r="A5" s="345" t="s">
        <v>72</v>
      </c>
      <c r="B5" s="330"/>
      <c r="C5" s="631"/>
      <c r="D5" s="332"/>
      <c r="E5" s="332"/>
      <c r="F5" s="332"/>
      <c r="G5" s="330"/>
    </row>
    <row r="6" spans="1:7" ht="21" x14ac:dyDescent="0.4">
      <c r="A6" s="345" t="s">
        <v>200</v>
      </c>
      <c r="B6" s="330"/>
      <c r="C6" s="631"/>
      <c r="D6" s="332"/>
      <c r="E6" s="332"/>
      <c r="F6" s="332"/>
      <c r="G6" s="330"/>
    </row>
    <row r="7" spans="1:7" ht="15" customHeight="1" x14ac:dyDescent="0.3">
      <c r="A7" s="350" t="s">
        <v>10</v>
      </c>
      <c r="B7" s="336"/>
      <c r="C7" s="363" t="s">
        <v>11</v>
      </c>
      <c r="D7" s="616" t="s">
        <v>12</v>
      </c>
      <c r="E7" s="336"/>
      <c r="F7" s="363" t="s">
        <v>13</v>
      </c>
      <c r="G7" s="363" t="s">
        <v>14</v>
      </c>
    </row>
    <row r="8" spans="1:7" ht="22.5" customHeight="1" x14ac:dyDescent="0.3">
      <c r="A8" s="337"/>
      <c r="B8" s="339"/>
      <c r="C8" s="342"/>
      <c r="D8" s="337"/>
      <c r="E8" s="339"/>
      <c r="F8" s="342"/>
      <c r="G8" s="342"/>
    </row>
    <row r="9" spans="1:7" ht="14.4" x14ac:dyDescent="0.25">
      <c r="A9" s="374" t="s">
        <v>19</v>
      </c>
      <c r="B9" s="363" t="s">
        <v>312</v>
      </c>
      <c r="C9" s="612" t="s">
        <v>313</v>
      </c>
      <c r="D9" s="346">
        <f>B3</f>
        <v>180</v>
      </c>
      <c r="E9" s="330"/>
      <c r="F9" s="13">
        <v>2</v>
      </c>
      <c r="G9" s="13">
        <v>90</v>
      </c>
    </row>
    <row r="10" spans="1:7" ht="14.4" x14ac:dyDescent="0.25">
      <c r="A10" s="342"/>
      <c r="B10" s="342"/>
      <c r="C10" s="342"/>
      <c r="D10" s="346">
        <f>B4-2.8</f>
        <v>67.2</v>
      </c>
      <c r="E10" s="330"/>
      <c r="F10" s="13">
        <v>2</v>
      </c>
      <c r="G10" s="13">
        <v>90</v>
      </c>
    </row>
    <row r="11" spans="1:7" ht="14.4" x14ac:dyDescent="0.25">
      <c r="A11" s="374" t="s">
        <v>66</v>
      </c>
      <c r="B11" s="13" t="s">
        <v>314</v>
      </c>
      <c r="C11" s="362" t="s">
        <v>92</v>
      </c>
      <c r="D11" s="346">
        <f>B3-2.9</f>
        <v>177.1</v>
      </c>
      <c r="E11" s="330"/>
      <c r="F11" s="13">
        <v>2</v>
      </c>
      <c r="G11" s="13">
        <v>45</v>
      </c>
    </row>
    <row r="12" spans="1:7" ht="14.4" x14ac:dyDescent="0.25">
      <c r="A12" s="354"/>
      <c r="B12" s="13" t="s">
        <v>314</v>
      </c>
      <c r="C12" s="342"/>
      <c r="D12" s="346">
        <f>B4-3.6</f>
        <v>66.400000000000006</v>
      </c>
      <c r="E12" s="330"/>
      <c r="F12" s="13">
        <v>2</v>
      </c>
      <c r="G12" s="13">
        <v>45</v>
      </c>
    </row>
    <row r="13" spans="1:7" ht="14.4" x14ac:dyDescent="0.25">
      <c r="A13" s="672" t="s">
        <v>303</v>
      </c>
      <c r="B13" s="673" t="s">
        <v>315</v>
      </c>
      <c r="C13" s="15"/>
      <c r="D13" s="53" t="s">
        <v>3</v>
      </c>
      <c r="E13" s="53" t="s">
        <v>6</v>
      </c>
      <c r="F13" s="13"/>
      <c r="G13" s="13"/>
    </row>
    <row r="14" spans="1:7" ht="14.4" x14ac:dyDescent="0.25">
      <c r="A14" s="342"/>
      <c r="B14" s="342"/>
      <c r="C14" s="13"/>
      <c r="D14" s="166">
        <f>D11-7.1</f>
        <v>170</v>
      </c>
      <c r="E14" s="166">
        <f>D12-7.1</f>
        <v>59.300000000000004</v>
      </c>
      <c r="F14" s="159">
        <v>1</v>
      </c>
      <c r="G14" s="13">
        <v>90</v>
      </c>
    </row>
    <row r="15" spans="1:7" ht="17.399999999999999" x14ac:dyDescent="0.25">
      <c r="A15" s="192" t="s">
        <v>42</v>
      </c>
      <c r="B15" s="13">
        <v>5020</v>
      </c>
      <c r="C15" s="13"/>
      <c r="D15" s="346"/>
      <c r="E15" s="330"/>
      <c r="F15" s="13">
        <f>(D14*2)+(E14*2)</f>
        <v>458.6</v>
      </c>
      <c r="G15" s="13" t="s">
        <v>43</v>
      </c>
    </row>
    <row r="16" spans="1:7" ht="17.399999999999999" x14ac:dyDescent="0.25">
      <c r="A16" s="192" t="s">
        <v>219</v>
      </c>
      <c r="B16" s="13" t="s">
        <v>187</v>
      </c>
      <c r="C16" s="13" t="s">
        <v>316</v>
      </c>
      <c r="D16" s="333"/>
      <c r="E16" s="330"/>
      <c r="F16" s="13">
        <v>14</v>
      </c>
      <c r="G16" s="13"/>
    </row>
    <row r="17" spans="1:7" ht="17.399999999999999" x14ac:dyDescent="0.25">
      <c r="A17" s="63" t="s">
        <v>317</v>
      </c>
      <c r="B17" s="13" t="s">
        <v>191</v>
      </c>
      <c r="C17" s="13" t="s">
        <v>318</v>
      </c>
      <c r="D17" s="333"/>
      <c r="E17" s="330"/>
      <c r="F17" s="13">
        <v>6</v>
      </c>
      <c r="G17" s="13"/>
    </row>
    <row r="18" spans="1:7" ht="17.399999999999999" x14ac:dyDescent="0.25">
      <c r="A18" s="192" t="s">
        <v>193</v>
      </c>
      <c r="B18" s="13" t="s">
        <v>310</v>
      </c>
      <c r="C18" s="13" t="s">
        <v>194</v>
      </c>
      <c r="D18" s="333"/>
      <c r="E18" s="330"/>
      <c r="F18" s="13">
        <v>6</v>
      </c>
      <c r="G18" s="13"/>
    </row>
    <row r="19" spans="1:7" ht="17.399999999999999" x14ac:dyDescent="0.3">
      <c r="A19" s="140" t="s">
        <v>319</v>
      </c>
      <c r="B19" s="13" t="s">
        <v>196</v>
      </c>
      <c r="C19" s="13"/>
      <c r="D19" s="333"/>
      <c r="E19" s="330"/>
      <c r="F19" s="13">
        <v>3</v>
      </c>
      <c r="G19" s="13"/>
    </row>
    <row r="20" spans="1:7" ht="17.399999999999999" x14ac:dyDescent="0.3">
      <c r="A20" s="140" t="s">
        <v>241</v>
      </c>
      <c r="B20" s="13" t="s">
        <v>320</v>
      </c>
      <c r="C20" s="13" t="s">
        <v>299</v>
      </c>
      <c r="D20" s="333"/>
      <c r="E20" s="330"/>
      <c r="F20" s="13">
        <v>1</v>
      </c>
      <c r="G20" s="13"/>
    </row>
    <row r="21" spans="1:7" ht="15.75" customHeight="1" x14ac:dyDescent="0.3">
      <c r="A21" s="140" t="s">
        <v>54</v>
      </c>
      <c r="B21" s="13" t="s">
        <v>321</v>
      </c>
      <c r="C21" s="13"/>
      <c r="D21" s="333"/>
      <c r="E21" s="330"/>
      <c r="F21" s="13">
        <v>1</v>
      </c>
      <c r="G21" s="13"/>
    </row>
    <row r="22" spans="1:7" ht="15.75" customHeight="1" x14ac:dyDescent="0.3">
      <c r="A22" s="636" t="s">
        <v>56</v>
      </c>
      <c r="B22" s="330"/>
      <c r="C22" s="636"/>
      <c r="D22" s="332"/>
      <c r="E22" s="332"/>
      <c r="F22" s="332"/>
      <c r="G22" s="330"/>
    </row>
    <row r="23" spans="1:7" ht="15.75" customHeight="1" x14ac:dyDescent="0.3">
      <c r="A23" s="636" t="s">
        <v>57</v>
      </c>
      <c r="B23" s="330"/>
      <c r="C23" s="636"/>
      <c r="D23" s="332"/>
      <c r="E23" s="332"/>
      <c r="F23" s="332"/>
      <c r="G23" s="330"/>
    </row>
    <row r="24" spans="1:7" ht="15.75" customHeight="1" x14ac:dyDescent="0.3">
      <c r="A24" s="674" t="s">
        <v>58</v>
      </c>
      <c r="B24" s="335"/>
      <c r="C24" s="335"/>
      <c r="D24" s="335"/>
      <c r="E24" s="336"/>
      <c r="F24" s="193"/>
      <c r="G24" s="194"/>
    </row>
    <row r="25" spans="1:7" ht="15.75" customHeight="1" x14ac:dyDescent="0.3">
      <c r="A25" s="337"/>
      <c r="B25" s="338"/>
      <c r="C25" s="338"/>
      <c r="D25" s="338"/>
      <c r="E25" s="339"/>
      <c r="F25" s="636" t="s">
        <v>59</v>
      </c>
      <c r="G25" s="330"/>
    </row>
    <row r="26" spans="1:7" ht="15.75" customHeight="1" x14ac:dyDescent="0.3">
      <c r="A26" s="2"/>
      <c r="B26" s="2"/>
      <c r="C26" s="2"/>
      <c r="D26" s="2"/>
      <c r="E26" s="2"/>
      <c r="F26" s="2"/>
      <c r="G26" s="2"/>
    </row>
    <row r="27" spans="1:7" ht="15.75" customHeight="1" x14ac:dyDescent="0.3">
      <c r="A27" s="2"/>
      <c r="B27" s="2"/>
      <c r="C27" s="195"/>
      <c r="D27" s="195"/>
      <c r="E27" s="195"/>
      <c r="F27" s="195"/>
      <c r="G27" s="195"/>
    </row>
    <row r="28" spans="1:7" ht="15.75" customHeight="1" x14ac:dyDescent="0.3">
      <c r="A28" s="2"/>
      <c r="B28" s="2"/>
      <c r="C28" s="195"/>
      <c r="D28" s="195"/>
      <c r="E28" s="195"/>
      <c r="F28" s="195"/>
      <c r="G28" s="195"/>
    </row>
    <row r="29" spans="1:7" ht="15.75" customHeight="1" x14ac:dyDescent="0.3">
      <c r="A29" s="2"/>
      <c r="B29" s="2"/>
      <c r="C29" s="675"/>
      <c r="D29" s="635"/>
      <c r="E29" s="635"/>
      <c r="F29" s="195"/>
      <c r="G29" s="195"/>
    </row>
    <row r="30" spans="1:7" ht="15.75" customHeight="1" x14ac:dyDescent="0.3">
      <c r="A30" s="2"/>
      <c r="B30" s="2"/>
      <c r="C30" s="195"/>
      <c r="D30" s="195"/>
      <c r="E30" s="195"/>
      <c r="F30" s="195"/>
      <c r="G30" s="195"/>
    </row>
    <row r="31" spans="1:7" ht="15.75" customHeight="1" x14ac:dyDescent="0.3">
      <c r="A31" s="2"/>
      <c r="B31" s="2"/>
      <c r="C31" s="195"/>
      <c r="D31" s="195"/>
      <c r="E31" s="195"/>
      <c r="F31" s="195"/>
      <c r="G31" s="195"/>
    </row>
    <row r="32" spans="1:7" ht="15.75" customHeight="1" x14ac:dyDescent="0.3">
      <c r="A32" s="2"/>
      <c r="B32" s="2"/>
      <c r="C32" s="195"/>
      <c r="D32" s="195"/>
      <c r="E32" s="195"/>
      <c r="F32" s="195"/>
      <c r="G32" s="195"/>
    </row>
    <row r="33" spans="1:7" ht="15.75" customHeight="1" x14ac:dyDescent="0.3">
      <c r="A33" s="2"/>
      <c r="B33" s="2"/>
      <c r="C33" s="195"/>
      <c r="D33" s="195"/>
      <c r="E33" s="195"/>
      <c r="F33" s="195"/>
      <c r="G33" s="195"/>
    </row>
    <row r="34" spans="1:7" ht="15.75" customHeight="1" x14ac:dyDescent="0.4">
      <c r="A34" s="2"/>
      <c r="B34" s="2"/>
      <c r="C34" s="195"/>
      <c r="D34" s="195"/>
      <c r="E34" s="196">
        <f>B3</f>
        <v>180</v>
      </c>
      <c r="F34" s="195"/>
      <c r="G34" s="195"/>
    </row>
    <row r="35" spans="1:7" ht="15.75" customHeight="1" x14ac:dyDescent="0.3">
      <c r="A35" s="2"/>
      <c r="B35" s="2"/>
      <c r="C35" s="195"/>
      <c r="D35" s="195"/>
      <c r="E35" s="195"/>
      <c r="F35" s="195"/>
      <c r="G35" s="195"/>
    </row>
    <row r="36" spans="1:7" ht="15.75" customHeight="1" x14ac:dyDescent="0.3">
      <c r="A36" s="2"/>
      <c r="B36" s="2"/>
      <c r="C36" s="195"/>
      <c r="D36" s="195"/>
      <c r="E36" s="195"/>
      <c r="F36" s="197"/>
      <c r="G36" s="195"/>
    </row>
    <row r="37" spans="1:7" ht="15.75" customHeight="1" x14ac:dyDescent="0.3">
      <c r="A37" s="2"/>
      <c r="B37" s="2"/>
      <c r="C37" s="195"/>
      <c r="D37" s="195"/>
      <c r="E37" s="195"/>
      <c r="F37" s="195"/>
      <c r="G37" s="195"/>
    </row>
    <row r="38" spans="1:7" ht="15.75" customHeight="1" x14ac:dyDescent="0.3">
      <c r="A38" s="2"/>
      <c r="B38" s="2"/>
      <c r="C38" s="195"/>
      <c r="D38" s="195"/>
      <c r="E38" s="195"/>
      <c r="F38" s="195"/>
      <c r="G38" s="195"/>
    </row>
    <row r="39" spans="1:7" ht="15.75" customHeight="1" x14ac:dyDescent="0.3">
      <c r="A39" s="2"/>
      <c r="B39" s="2"/>
      <c r="C39" s="195"/>
      <c r="D39" s="195"/>
      <c r="E39" s="195"/>
      <c r="F39" s="195"/>
      <c r="G39" s="195"/>
    </row>
    <row r="40" spans="1:7" ht="15.75" customHeight="1" x14ac:dyDescent="0.3">
      <c r="A40" s="2"/>
      <c r="B40" s="2"/>
      <c r="C40" s="195"/>
      <c r="D40" s="195"/>
      <c r="E40" s="195"/>
      <c r="F40" s="195"/>
      <c r="G40" s="195"/>
    </row>
    <row r="41" spans="1:7" ht="15.75" customHeight="1" x14ac:dyDescent="0.3">
      <c r="A41" s="2"/>
      <c r="B41" s="2"/>
      <c r="C41" s="195"/>
      <c r="D41" s="195"/>
      <c r="E41" s="195"/>
      <c r="F41" s="195"/>
      <c r="G41" s="195"/>
    </row>
    <row r="42" spans="1:7" ht="15.75" customHeight="1" x14ac:dyDescent="0.4">
      <c r="A42" s="2"/>
      <c r="B42" s="2"/>
      <c r="C42" s="676">
        <f>B4</f>
        <v>70</v>
      </c>
      <c r="D42" s="635"/>
      <c r="E42" s="195"/>
      <c r="F42" s="195"/>
      <c r="G42" s="195"/>
    </row>
    <row r="43" spans="1:7" ht="15.75" customHeight="1" x14ac:dyDescent="0.3">
      <c r="A43" s="2"/>
      <c r="B43" s="2"/>
      <c r="C43" s="195"/>
      <c r="D43" s="195"/>
      <c r="E43" s="195"/>
      <c r="F43" s="195"/>
      <c r="G43" s="195"/>
    </row>
    <row r="44" spans="1:7" ht="15.75" customHeight="1" x14ac:dyDescent="0.3">
      <c r="A44" s="2"/>
      <c r="B44" s="2"/>
      <c r="C44" s="195"/>
      <c r="D44" s="195"/>
      <c r="E44" s="195"/>
      <c r="F44" s="195"/>
      <c r="G44" s="195"/>
    </row>
    <row r="45" spans="1:7" ht="15.75" customHeight="1" x14ac:dyDescent="0.3">
      <c r="A45" s="2"/>
      <c r="B45" s="2"/>
      <c r="C45" s="195"/>
      <c r="D45" s="195"/>
      <c r="E45" s="195"/>
      <c r="F45" s="195"/>
      <c r="G45" s="195"/>
    </row>
    <row r="46" spans="1:7" ht="15.75" customHeight="1" x14ac:dyDescent="0.3">
      <c r="A46" s="2"/>
      <c r="B46" s="2"/>
      <c r="C46" s="675"/>
      <c r="D46" s="635"/>
      <c r="E46" s="635"/>
      <c r="F46" s="195"/>
      <c r="G46" s="195"/>
    </row>
    <row r="47" spans="1:7" ht="15.75" customHeight="1" x14ac:dyDescent="0.3">
      <c r="A47" s="2"/>
      <c r="B47" s="2"/>
      <c r="C47" s="195"/>
      <c r="D47" s="195"/>
      <c r="E47" s="195"/>
      <c r="F47" s="195"/>
      <c r="G47" s="195"/>
    </row>
    <row r="48" spans="1:7" ht="15.75" customHeight="1" x14ac:dyDescent="0.3">
      <c r="A48" s="2"/>
      <c r="B48" s="2"/>
      <c r="C48" s="2"/>
      <c r="D48" s="2"/>
      <c r="E48" s="2"/>
      <c r="F48" s="2"/>
      <c r="G48" s="2"/>
    </row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40">
    <mergeCell ref="F25:G25"/>
    <mergeCell ref="A24:E25"/>
    <mergeCell ref="C23:G23"/>
    <mergeCell ref="C46:E46"/>
    <mergeCell ref="C42:D42"/>
    <mergeCell ref="C29:E29"/>
    <mergeCell ref="A22:B22"/>
    <mergeCell ref="A23:B23"/>
    <mergeCell ref="A1:G1"/>
    <mergeCell ref="C6:G6"/>
    <mergeCell ref="A6:B6"/>
    <mergeCell ref="A11:A12"/>
    <mergeCell ref="D12:E12"/>
    <mergeCell ref="D11:E11"/>
    <mergeCell ref="C11:C12"/>
    <mergeCell ref="D10:E10"/>
    <mergeCell ref="D9:E9"/>
    <mergeCell ref="C5:G5"/>
    <mergeCell ref="A5:B5"/>
    <mergeCell ref="C4:G4"/>
    <mergeCell ref="C3:G3"/>
    <mergeCell ref="A2:G2"/>
    <mergeCell ref="D17:E17"/>
    <mergeCell ref="D18:E18"/>
    <mergeCell ref="C22:G22"/>
    <mergeCell ref="D19:E19"/>
    <mergeCell ref="G7:G8"/>
    <mergeCell ref="F7:F8"/>
    <mergeCell ref="D21:E21"/>
    <mergeCell ref="D20:E20"/>
    <mergeCell ref="A13:A14"/>
    <mergeCell ref="A7:B8"/>
    <mergeCell ref="B13:B14"/>
    <mergeCell ref="D16:E16"/>
    <mergeCell ref="D15:E15"/>
    <mergeCell ref="D7:E8"/>
    <mergeCell ref="C7:C8"/>
    <mergeCell ref="C9:C10"/>
    <mergeCell ref="B9:B10"/>
    <mergeCell ref="A9:A10"/>
  </mergeCells>
  <pageMargins left="0.7" right="0.7" top="0.75" bottom="0.75" header="0" footer="0"/>
  <pageSetup orientation="landscape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workbookViewId="0"/>
  </sheetViews>
  <sheetFormatPr baseColWidth="10" defaultColWidth="14.44140625" defaultRowHeight="15" customHeight="1" x14ac:dyDescent="0.3"/>
  <cols>
    <col min="1" max="1" width="17" customWidth="1"/>
    <col min="2" max="2" width="27.88671875" customWidth="1"/>
    <col min="3" max="3" width="8.33203125" customWidth="1"/>
    <col min="4" max="4" width="12.44140625" customWidth="1"/>
    <col min="5" max="5" width="7.6640625" customWidth="1"/>
    <col min="6" max="6" width="5" customWidth="1"/>
    <col min="7" max="7" width="6.5546875" customWidth="1"/>
    <col min="8" max="8" width="12.6640625" customWidth="1"/>
  </cols>
  <sheetData>
    <row r="1" spans="1:8" ht="22.8" x14ac:dyDescent="0.4">
      <c r="A1" s="509"/>
      <c r="B1" s="510"/>
      <c r="C1" s="510"/>
      <c r="D1" s="510"/>
      <c r="E1" s="510"/>
      <c r="F1" s="510"/>
      <c r="G1" s="510"/>
      <c r="H1" s="511"/>
    </row>
    <row r="2" spans="1:8" ht="21" x14ac:dyDescent="0.4">
      <c r="A2" s="683" t="s">
        <v>322</v>
      </c>
      <c r="B2" s="332"/>
      <c r="C2" s="332"/>
      <c r="D2" s="332"/>
      <c r="E2" s="332"/>
      <c r="F2" s="332"/>
      <c r="G2" s="332"/>
      <c r="H2" s="330"/>
    </row>
    <row r="3" spans="1:8" ht="23.25" customHeight="1" x14ac:dyDescent="0.3">
      <c r="A3" s="685" t="s">
        <v>3</v>
      </c>
      <c r="B3" s="332"/>
      <c r="C3" s="330"/>
      <c r="D3" s="198">
        <v>80</v>
      </c>
      <c r="E3" s="199" t="s">
        <v>4</v>
      </c>
      <c r="F3" s="200"/>
      <c r="G3" s="201"/>
      <c r="H3" s="202"/>
    </row>
    <row r="4" spans="1:8" ht="18" customHeight="1" x14ac:dyDescent="0.3">
      <c r="A4" s="685" t="s">
        <v>6</v>
      </c>
      <c r="B4" s="332"/>
      <c r="C4" s="330"/>
      <c r="D4" s="198">
        <v>80</v>
      </c>
      <c r="E4" s="199" t="s">
        <v>4</v>
      </c>
      <c r="F4" s="203"/>
      <c r="G4" s="203"/>
      <c r="H4" s="202"/>
    </row>
    <row r="5" spans="1:8" ht="21" x14ac:dyDescent="0.3">
      <c r="A5" s="685" t="s">
        <v>8</v>
      </c>
      <c r="B5" s="332"/>
      <c r="C5" s="330"/>
      <c r="D5" s="692"/>
      <c r="E5" s="332"/>
      <c r="F5" s="332"/>
      <c r="G5" s="332"/>
      <c r="H5" s="330"/>
    </row>
    <row r="6" spans="1:8" ht="21" x14ac:dyDescent="0.4">
      <c r="A6" s="660" t="s">
        <v>323</v>
      </c>
      <c r="B6" s="332"/>
      <c r="C6" s="330"/>
      <c r="D6" s="692"/>
      <c r="E6" s="332"/>
      <c r="F6" s="332"/>
      <c r="G6" s="332"/>
      <c r="H6" s="330"/>
    </row>
    <row r="7" spans="1:8" ht="34.5" customHeight="1" x14ac:dyDescent="0.3">
      <c r="A7" s="685" t="s">
        <v>61</v>
      </c>
      <c r="B7" s="330"/>
      <c r="C7" s="204" t="s">
        <v>11</v>
      </c>
      <c r="D7" s="686" t="s">
        <v>324</v>
      </c>
      <c r="E7" s="332"/>
      <c r="F7" s="330"/>
      <c r="G7" s="205" t="s">
        <v>13</v>
      </c>
      <c r="H7" s="205" t="s">
        <v>84</v>
      </c>
    </row>
    <row r="8" spans="1:8" ht="14.4" x14ac:dyDescent="0.25">
      <c r="A8" s="688" t="s">
        <v>19</v>
      </c>
      <c r="B8" s="13" t="s">
        <v>325</v>
      </c>
      <c r="C8" s="362" t="s">
        <v>289</v>
      </c>
      <c r="D8" s="684">
        <f>D4</f>
        <v>80</v>
      </c>
      <c r="E8" s="332"/>
      <c r="F8" s="330"/>
      <c r="G8" s="206">
        <v>1</v>
      </c>
      <c r="H8" s="206">
        <v>45</v>
      </c>
    </row>
    <row r="9" spans="1:8" ht="14.4" x14ac:dyDescent="0.25">
      <c r="A9" s="500"/>
      <c r="B9" s="13" t="s">
        <v>326</v>
      </c>
      <c r="C9" s="342"/>
      <c r="D9" s="684">
        <f>D4</f>
        <v>80</v>
      </c>
      <c r="E9" s="332"/>
      <c r="F9" s="330"/>
      <c r="G9" s="206">
        <v>1</v>
      </c>
      <c r="H9" s="206">
        <v>45</v>
      </c>
    </row>
    <row r="10" spans="1:8" ht="14.4" x14ac:dyDescent="0.25">
      <c r="A10" s="501"/>
      <c r="B10" s="13" t="s">
        <v>327</v>
      </c>
      <c r="C10" s="13" t="s">
        <v>290</v>
      </c>
      <c r="D10" s="684">
        <f>D3</f>
        <v>80</v>
      </c>
      <c r="E10" s="332"/>
      <c r="F10" s="330"/>
      <c r="G10" s="206">
        <v>2</v>
      </c>
      <c r="H10" s="206">
        <v>45</v>
      </c>
    </row>
    <row r="11" spans="1:8" ht="15.75" customHeight="1" x14ac:dyDescent="0.25">
      <c r="A11" s="688" t="s">
        <v>29</v>
      </c>
      <c r="B11" s="13" t="s">
        <v>328</v>
      </c>
      <c r="C11" s="362" t="s">
        <v>292</v>
      </c>
      <c r="D11" s="684">
        <f>D3-2.5</f>
        <v>77.5</v>
      </c>
      <c r="E11" s="332"/>
      <c r="F11" s="330"/>
      <c r="G11" s="206">
        <v>4</v>
      </c>
      <c r="H11" s="206">
        <v>45</v>
      </c>
    </row>
    <row r="12" spans="1:8" ht="15.75" customHeight="1" x14ac:dyDescent="0.25">
      <c r="A12" s="500"/>
      <c r="B12" s="61" t="s">
        <v>329</v>
      </c>
      <c r="C12" s="342"/>
      <c r="D12" s="684">
        <f>(D4+0.9)/2</f>
        <v>40.450000000000003</v>
      </c>
      <c r="E12" s="332"/>
      <c r="F12" s="330"/>
      <c r="G12" s="206">
        <v>4</v>
      </c>
      <c r="H12" s="206">
        <v>45</v>
      </c>
    </row>
    <row r="13" spans="1:8" ht="15.75" customHeight="1" x14ac:dyDescent="0.25">
      <c r="A13" s="501"/>
      <c r="B13" s="13" t="s">
        <v>330</v>
      </c>
      <c r="C13" s="13" t="s">
        <v>302</v>
      </c>
      <c r="D13" s="684">
        <v>1.1000000000000001</v>
      </c>
      <c r="E13" s="332"/>
      <c r="F13" s="330"/>
      <c r="G13" s="206">
        <v>8</v>
      </c>
      <c r="H13" s="206">
        <v>90</v>
      </c>
    </row>
    <row r="14" spans="1:8" ht="21.75" customHeight="1" x14ac:dyDescent="0.3">
      <c r="A14" s="687" t="s">
        <v>303</v>
      </c>
      <c r="B14" s="691" t="s">
        <v>331</v>
      </c>
      <c r="C14" s="363"/>
      <c r="D14" s="13" t="s">
        <v>3</v>
      </c>
      <c r="E14" s="680" t="s">
        <v>41</v>
      </c>
      <c r="F14" s="330"/>
      <c r="G14" s="207"/>
      <c r="H14" s="20"/>
    </row>
    <row r="15" spans="1:8" ht="15.75" customHeight="1" x14ac:dyDescent="0.3">
      <c r="A15" s="501"/>
      <c r="B15" s="342"/>
      <c r="C15" s="342"/>
      <c r="D15" s="208">
        <f>D11-4</f>
        <v>73.5</v>
      </c>
      <c r="E15" s="681">
        <f>D12-4</f>
        <v>36.450000000000003</v>
      </c>
      <c r="F15" s="330"/>
      <c r="G15" s="209">
        <v>2</v>
      </c>
      <c r="H15" s="20"/>
    </row>
    <row r="16" spans="1:8" ht="15.75" customHeight="1" x14ac:dyDescent="0.3">
      <c r="A16" s="210" t="s">
        <v>42</v>
      </c>
      <c r="B16" s="13">
        <v>5020</v>
      </c>
      <c r="C16" s="13"/>
      <c r="D16" s="682"/>
      <c r="E16" s="332"/>
      <c r="F16" s="330"/>
      <c r="G16" s="206"/>
      <c r="H16" s="20"/>
    </row>
    <row r="17" spans="1:8" ht="15.6" x14ac:dyDescent="0.3">
      <c r="A17" s="210" t="s">
        <v>80</v>
      </c>
      <c r="B17" s="61" t="s">
        <v>332</v>
      </c>
      <c r="C17" s="61"/>
      <c r="D17" s="557"/>
      <c r="E17" s="332"/>
      <c r="F17" s="330"/>
      <c r="G17" s="206">
        <v>4</v>
      </c>
      <c r="H17" s="20"/>
    </row>
    <row r="18" spans="1:8" ht="15.6" x14ac:dyDescent="0.3">
      <c r="A18" s="678" t="s">
        <v>48</v>
      </c>
      <c r="B18" s="61" t="s">
        <v>187</v>
      </c>
      <c r="C18" s="61" t="s">
        <v>189</v>
      </c>
      <c r="D18" s="557"/>
      <c r="E18" s="332"/>
      <c r="F18" s="330"/>
      <c r="G18" s="206">
        <v>12</v>
      </c>
      <c r="H18" s="20"/>
    </row>
    <row r="19" spans="1:8" ht="15.6" x14ac:dyDescent="0.3">
      <c r="A19" s="501"/>
      <c r="B19" s="61" t="s">
        <v>187</v>
      </c>
      <c r="C19" s="61" t="s">
        <v>316</v>
      </c>
      <c r="D19" s="557"/>
      <c r="E19" s="332"/>
      <c r="F19" s="330"/>
      <c r="G19" s="206">
        <v>20</v>
      </c>
      <c r="H19" s="20"/>
    </row>
    <row r="20" spans="1:8" ht="15.6" x14ac:dyDescent="0.3">
      <c r="A20" s="210" t="s">
        <v>44</v>
      </c>
      <c r="B20" s="61" t="s">
        <v>191</v>
      </c>
      <c r="C20" s="61" t="s">
        <v>67</v>
      </c>
      <c r="D20" s="557"/>
      <c r="E20" s="332"/>
      <c r="F20" s="330"/>
      <c r="G20" s="206">
        <v>4</v>
      </c>
      <c r="H20" s="20"/>
    </row>
    <row r="21" spans="1:8" ht="15.75" customHeight="1" x14ac:dyDescent="0.3">
      <c r="A21" s="210" t="s">
        <v>70</v>
      </c>
      <c r="B21" s="61" t="s">
        <v>310</v>
      </c>
      <c r="C21" s="61" t="s">
        <v>333</v>
      </c>
      <c r="D21" s="557"/>
      <c r="E21" s="332"/>
      <c r="F21" s="330"/>
      <c r="G21" s="206">
        <v>4</v>
      </c>
      <c r="H21" s="20"/>
    </row>
    <row r="22" spans="1:8" ht="15.75" customHeight="1" x14ac:dyDescent="0.3">
      <c r="A22" s="210" t="s">
        <v>334</v>
      </c>
      <c r="B22" s="42" t="s">
        <v>335</v>
      </c>
      <c r="C22" s="13"/>
      <c r="D22" s="557"/>
      <c r="E22" s="332"/>
      <c r="F22" s="330"/>
      <c r="G22" s="206">
        <v>2</v>
      </c>
      <c r="H22" s="20"/>
    </row>
    <row r="23" spans="1:8" ht="15.75" customHeight="1" x14ac:dyDescent="0.3">
      <c r="A23" s="690"/>
      <c r="B23" s="332"/>
      <c r="C23" s="332"/>
      <c r="D23" s="332"/>
      <c r="E23" s="332"/>
      <c r="F23" s="332"/>
      <c r="G23" s="332"/>
      <c r="H23" s="330"/>
    </row>
    <row r="24" spans="1:8" ht="15.75" customHeight="1" x14ac:dyDescent="0.3">
      <c r="A24" s="677" t="s">
        <v>56</v>
      </c>
      <c r="B24" s="330"/>
      <c r="C24" s="689"/>
      <c r="D24" s="332"/>
      <c r="E24" s="332"/>
      <c r="F24" s="332"/>
      <c r="G24" s="332"/>
      <c r="H24" s="330"/>
    </row>
    <row r="25" spans="1:8" ht="15.75" customHeight="1" x14ac:dyDescent="0.3">
      <c r="A25" s="677" t="s">
        <v>57</v>
      </c>
      <c r="B25" s="330"/>
      <c r="C25" s="689"/>
      <c r="D25" s="332"/>
      <c r="E25" s="332"/>
      <c r="F25" s="332"/>
      <c r="G25" s="332"/>
      <c r="H25" s="330"/>
    </row>
    <row r="26" spans="1:8" ht="15.75" customHeight="1" x14ac:dyDescent="0.3">
      <c r="A26" s="679" t="s">
        <v>58</v>
      </c>
      <c r="B26" s="335"/>
      <c r="C26" s="335"/>
      <c r="D26" s="335"/>
      <c r="E26" s="336"/>
      <c r="F26" s="693"/>
      <c r="G26" s="335"/>
      <c r="H26" s="336"/>
    </row>
    <row r="27" spans="1:8" ht="15" customHeight="1" x14ac:dyDescent="0.3">
      <c r="A27" s="506"/>
      <c r="B27" s="327"/>
      <c r="C27" s="327"/>
      <c r="D27" s="327"/>
      <c r="E27" s="361"/>
      <c r="F27" s="337"/>
      <c r="G27" s="338"/>
      <c r="H27" s="339"/>
    </row>
    <row r="28" spans="1:8" ht="15.75" customHeight="1" x14ac:dyDescent="0.3">
      <c r="A28" s="668"/>
      <c r="B28" s="669"/>
      <c r="C28" s="669"/>
      <c r="D28" s="669"/>
      <c r="E28" s="670"/>
      <c r="F28" s="689" t="s">
        <v>59</v>
      </c>
      <c r="G28" s="332"/>
      <c r="H28" s="330"/>
    </row>
    <row r="29" spans="1:8" ht="15.75" customHeight="1" x14ac:dyDescent="0.4">
      <c r="A29" s="70"/>
      <c r="B29" s="32"/>
      <c r="C29" s="32"/>
      <c r="D29" s="211"/>
      <c r="E29" s="212"/>
      <c r="F29" s="212"/>
      <c r="G29" s="212"/>
      <c r="H29" s="212"/>
    </row>
    <row r="30" spans="1:8" ht="15.75" customHeight="1" x14ac:dyDescent="0.4">
      <c r="A30" s="70"/>
      <c r="B30" s="32"/>
      <c r="C30" s="32"/>
      <c r="D30" s="212"/>
      <c r="E30" s="212"/>
      <c r="F30" s="212"/>
      <c r="G30" s="212"/>
      <c r="H30" s="212"/>
    </row>
    <row r="31" spans="1:8" ht="15.75" customHeight="1" x14ac:dyDescent="0.4">
      <c r="A31" s="70"/>
      <c r="B31" s="32"/>
      <c r="C31" s="32"/>
      <c r="D31" s="212"/>
      <c r="E31" s="212"/>
      <c r="F31" s="212"/>
      <c r="G31" s="212"/>
      <c r="H31" s="212"/>
    </row>
    <row r="32" spans="1:8" ht="15.75" customHeight="1" x14ac:dyDescent="0.4">
      <c r="A32" s="70"/>
      <c r="B32" s="32"/>
      <c r="C32" s="32"/>
      <c r="D32" s="212"/>
      <c r="E32" s="212"/>
      <c r="F32" s="212"/>
      <c r="G32" s="212"/>
      <c r="H32" s="212"/>
    </row>
    <row r="33" spans="1:8" ht="15.75" customHeight="1" x14ac:dyDescent="0.4">
      <c r="A33" s="70"/>
      <c r="B33" s="32"/>
      <c r="C33" s="32"/>
      <c r="D33" s="213">
        <f>D3</f>
        <v>80</v>
      </c>
      <c r="E33" s="212"/>
      <c r="F33" s="211"/>
      <c r="G33" s="212"/>
    </row>
    <row r="34" spans="1:8" ht="15.75" customHeight="1" x14ac:dyDescent="0.4">
      <c r="A34" s="70"/>
      <c r="B34" s="32"/>
      <c r="C34" s="32"/>
      <c r="D34" s="212"/>
      <c r="E34" s="212"/>
      <c r="F34" s="212"/>
      <c r="G34" s="212"/>
      <c r="H34" s="212"/>
    </row>
    <row r="35" spans="1:8" ht="15.75" customHeight="1" x14ac:dyDescent="0.4">
      <c r="A35" s="70"/>
      <c r="B35" s="32"/>
      <c r="C35" s="32"/>
      <c r="D35" s="212"/>
      <c r="E35" s="212"/>
      <c r="F35" s="212"/>
      <c r="G35" s="212"/>
      <c r="H35" s="212"/>
    </row>
    <row r="36" spans="1:8" ht="15.75" customHeight="1" x14ac:dyDescent="0.4">
      <c r="A36" s="70"/>
      <c r="B36" s="32"/>
      <c r="C36" s="32"/>
      <c r="D36" s="212"/>
      <c r="E36" s="212"/>
      <c r="F36" s="212"/>
      <c r="G36" s="212"/>
      <c r="H36" s="212"/>
    </row>
    <row r="37" spans="1:8" ht="15.75" customHeight="1" x14ac:dyDescent="0.4">
      <c r="A37" s="70"/>
      <c r="B37" s="32"/>
      <c r="C37" s="32"/>
      <c r="D37" s="32"/>
      <c r="E37" s="32"/>
      <c r="F37" s="32"/>
      <c r="G37" s="32"/>
      <c r="H37" s="32"/>
    </row>
    <row r="38" spans="1:8" ht="15.75" customHeight="1" x14ac:dyDescent="0.4">
      <c r="A38" s="70"/>
      <c r="B38" s="328">
        <f>D4</f>
        <v>80</v>
      </c>
      <c r="C38" s="327"/>
      <c r="E38" s="32"/>
      <c r="F38" s="32"/>
      <c r="G38" s="32"/>
      <c r="H38" s="32"/>
    </row>
    <row r="39" spans="1:8" ht="15.75" customHeight="1" x14ac:dyDescent="0.4">
      <c r="A39" s="70"/>
      <c r="B39" s="32"/>
      <c r="C39" s="32"/>
      <c r="D39" s="32"/>
      <c r="E39" s="32"/>
      <c r="F39" s="32"/>
      <c r="G39" s="32"/>
      <c r="H39" s="32"/>
    </row>
    <row r="40" spans="1:8" ht="15.75" customHeight="1" x14ac:dyDescent="0.4">
      <c r="A40" s="70"/>
      <c r="B40" s="32"/>
      <c r="C40" s="32"/>
      <c r="D40" s="32"/>
      <c r="E40" s="32"/>
      <c r="F40" s="32"/>
      <c r="G40" s="32"/>
      <c r="H40" s="32"/>
    </row>
    <row r="41" spans="1:8" ht="15.75" customHeight="1" x14ac:dyDescent="0.4">
      <c r="A41" s="70"/>
      <c r="B41" s="32"/>
      <c r="C41" s="32"/>
      <c r="D41" s="32"/>
      <c r="E41" s="32"/>
      <c r="F41" s="32"/>
      <c r="G41" s="32"/>
      <c r="H41" s="32"/>
    </row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42">
    <mergeCell ref="F26:H27"/>
    <mergeCell ref="F28:H28"/>
    <mergeCell ref="D20:F20"/>
    <mergeCell ref="D21:F21"/>
    <mergeCell ref="D22:F22"/>
    <mergeCell ref="A1:H1"/>
    <mergeCell ref="C24:H24"/>
    <mergeCell ref="A23:H23"/>
    <mergeCell ref="C25:H25"/>
    <mergeCell ref="D19:F19"/>
    <mergeCell ref="D18:F18"/>
    <mergeCell ref="C14:C15"/>
    <mergeCell ref="B14:B15"/>
    <mergeCell ref="D12:F12"/>
    <mergeCell ref="D13:F13"/>
    <mergeCell ref="D9:F9"/>
    <mergeCell ref="D8:F8"/>
    <mergeCell ref="D6:H6"/>
    <mergeCell ref="D5:H5"/>
    <mergeCell ref="A6:C6"/>
    <mergeCell ref="D17:F17"/>
    <mergeCell ref="E14:F14"/>
    <mergeCell ref="E15:F15"/>
    <mergeCell ref="D16:F16"/>
    <mergeCell ref="A2:H2"/>
    <mergeCell ref="D10:F10"/>
    <mergeCell ref="A5:C5"/>
    <mergeCell ref="A3:C3"/>
    <mergeCell ref="A4:C4"/>
    <mergeCell ref="D11:F11"/>
    <mergeCell ref="D7:F7"/>
    <mergeCell ref="C11:C12"/>
    <mergeCell ref="C8:C9"/>
    <mergeCell ref="A14:A15"/>
    <mergeCell ref="A11:A13"/>
    <mergeCell ref="A7:B7"/>
    <mergeCell ref="A8:A10"/>
    <mergeCell ref="A25:B25"/>
    <mergeCell ref="B38:C38"/>
    <mergeCell ref="A24:B24"/>
    <mergeCell ref="A18:A19"/>
    <mergeCell ref="A26:E28"/>
  </mergeCells>
  <pageMargins left="0.7" right="0.7" top="0.75" bottom="0.75" header="0" footer="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5"/>
  <sheetViews>
    <sheetView workbookViewId="0"/>
  </sheetViews>
  <sheetFormatPr baseColWidth="10" defaultColWidth="14.44140625" defaultRowHeight="15" customHeight="1" x14ac:dyDescent="0.3"/>
  <cols>
    <col min="1" max="1" width="15.109375" customWidth="1"/>
    <col min="2" max="2" width="24.109375" customWidth="1"/>
    <col min="3" max="3" width="13.33203125" customWidth="1"/>
    <col min="4" max="4" width="11.6640625" customWidth="1"/>
    <col min="5" max="5" width="8.33203125" customWidth="1"/>
    <col min="6" max="6" width="3.109375" customWidth="1"/>
    <col min="7" max="7" width="7" customWidth="1"/>
    <col min="8" max="8" width="8.109375" customWidth="1"/>
    <col min="9" max="9" width="15.88671875" customWidth="1"/>
    <col min="10" max="10" width="18.33203125" customWidth="1"/>
    <col min="11" max="11" width="17.44140625" customWidth="1"/>
    <col min="12" max="12" width="13.88671875" customWidth="1"/>
    <col min="13" max="17" width="8.5546875" customWidth="1"/>
  </cols>
  <sheetData>
    <row r="1" spans="1:12" ht="22.8" x14ac:dyDescent="0.4">
      <c r="A1" s="344"/>
      <c r="B1" s="332"/>
      <c r="C1" s="332"/>
      <c r="D1" s="332"/>
      <c r="E1" s="332"/>
      <c r="F1" s="332"/>
      <c r="G1" s="332"/>
      <c r="H1" s="330"/>
      <c r="I1" s="1"/>
      <c r="J1" s="2"/>
      <c r="K1" s="2"/>
    </row>
    <row r="2" spans="1:12" ht="21" x14ac:dyDescent="0.4">
      <c r="A2" s="343" t="s">
        <v>336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2" ht="21" x14ac:dyDescent="0.4">
      <c r="A3" s="345" t="s">
        <v>3</v>
      </c>
      <c r="B3" s="332"/>
      <c r="C3" s="330"/>
      <c r="D3" s="6">
        <v>100</v>
      </c>
      <c r="E3" s="345" t="s">
        <v>4</v>
      </c>
      <c r="F3" s="332"/>
      <c r="G3" s="332"/>
      <c r="H3" s="330"/>
      <c r="I3" s="1"/>
      <c r="J3" s="2"/>
      <c r="K3" s="2"/>
    </row>
    <row r="4" spans="1:12" ht="21" x14ac:dyDescent="0.4">
      <c r="A4" s="347" t="s">
        <v>6</v>
      </c>
      <c r="B4" s="332"/>
      <c r="C4" s="330"/>
      <c r="D4" s="6">
        <v>100</v>
      </c>
      <c r="E4" s="345" t="s">
        <v>4</v>
      </c>
      <c r="F4" s="332"/>
      <c r="G4" s="332"/>
      <c r="H4" s="330"/>
      <c r="I4" s="7"/>
      <c r="J4" s="2"/>
      <c r="K4" s="2"/>
    </row>
    <row r="5" spans="1:12" ht="21" x14ac:dyDescent="0.4">
      <c r="A5" s="347" t="s">
        <v>7</v>
      </c>
      <c r="B5" s="332"/>
      <c r="C5" s="330"/>
      <c r="D5" s="8">
        <v>3</v>
      </c>
      <c r="E5" s="345"/>
      <c r="F5" s="332"/>
      <c r="G5" s="332"/>
      <c r="H5" s="330"/>
      <c r="I5" s="9"/>
      <c r="J5" s="2"/>
      <c r="K5" s="2"/>
    </row>
    <row r="6" spans="1:12" ht="17.399999999999999" x14ac:dyDescent="0.3">
      <c r="A6" s="347" t="s">
        <v>8</v>
      </c>
      <c r="B6" s="330"/>
      <c r="C6" s="331"/>
      <c r="D6" s="332"/>
      <c r="E6" s="332"/>
      <c r="F6" s="332"/>
      <c r="G6" s="332"/>
      <c r="H6" s="330"/>
      <c r="I6" s="10"/>
      <c r="J6" s="2"/>
      <c r="K6" s="2"/>
    </row>
    <row r="7" spans="1:12" ht="17.25" customHeight="1" x14ac:dyDescent="0.3">
      <c r="A7" s="347" t="s">
        <v>9</v>
      </c>
      <c r="B7" s="330"/>
      <c r="C7" s="331"/>
      <c r="D7" s="332"/>
      <c r="E7" s="332"/>
      <c r="F7" s="332"/>
      <c r="G7" s="332"/>
      <c r="H7" s="330"/>
      <c r="I7" s="10"/>
      <c r="J7" s="2"/>
      <c r="K7" s="2"/>
    </row>
    <row r="8" spans="1:12" ht="18.75" customHeight="1" x14ac:dyDescent="0.4">
      <c r="A8" s="350" t="s">
        <v>10</v>
      </c>
      <c r="B8" s="336"/>
      <c r="C8" s="349" t="s">
        <v>11</v>
      </c>
      <c r="D8" s="348" t="s">
        <v>12</v>
      </c>
      <c r="E8" s="335"/>
      <c r="F8" s="336"/>
      <c r="G8" s="351" t="s">
        <v>13</v>
      </c>
      <c r="H8" s="351" t="s">
        <v>14</v>
      </c>
      <c r="I8" s="358"/>
      <c r="J8" s="332"/>
      <c r="K8" s="330"/>
    </row>
    <row r="9" spans="1:12" ht="19.5" customHeight="1" x14ac:dyDescent="0.4">
      <c r="A9" s="337"/>
      <c r="B9" s="339"/>
      <c r="C9" s="342"/>
      <c r="D9" s="337"/>
      <c r="E9" s="338"/>
      <c r="F9" s="339"/>
      <c r="G9" s="342"/>
      <c r="H9" s="342"/>
      <c r="I9" s="12"/>
      <c r="J9" s="12"/>
      <c r="K9" s="12"/>
    </row>
    <row r="10" spans="1:12" ht="14.4" x14ac:dyDescent="0.3">
      <c r="A10" s="353" t="s">
        <v>19</v>
      </c>
      <c r="B10" s="13" t="s">
        <v>20</v>
      </c>
      <c r="C10" s="13">
        <v>3207</v>
      </c>
      <c r="D10" s="346">
        <f>D4</f>
        <v>100</v>
      </c>
      <c r="E10" s="332"/>
      <c r="F10" s="330"/>
      <c r="G10" s="13">
        <f>D5*1</f>
        <v>3</v>
      </c>
      <c r="H10" s="13">
        <v>90</v>
      </c>
      <c r="I10" s="13"/>
      <c r="J10" s="13"/>
      <c r="K10" s="14"/>
      <c r="L10" s="2"/>
    </row>
    <row r="11" spans="1:12" ht="14.4" x14ac:dyDescent="0.3">
      <c r="A11" s="354"/>
      <c r="B11" s="13" t="s">
        <v>23</v>
      </c>
      <c r="C11" s="13">
        <v>3208</v>
      </c>
      <c r="D11" s="346">
        <f>D4</f>
        <v>100</v>
      </c>
      <c r="E11" s="332"/>
      <c r="F11" s="330"/>
      <c r="G11" s="13">
        <f>D5*1</f>
        <v>3</v>
      </c>
      <c r="H11" s="13">
        <v>90</v>
      </c>
      <c r="I11" s="13"/>
      <c r="J11" s="13"/>
      <c r="K11" s="14"/>
    </row>
    <row r="12" spans="1:12" ht="14.4" x14ac:dyDescent="0.3">
      <c r="A12" s="342"/>
      <c r="B12" s="13" t="s">
        <v>26</v>
      </c>
      <c r="C12" s="13">
        <v>3211</v>
      </c>
      <c r="D12" s="346">
        <f>D3-1.1</f>
        <v>98.9</v>
      </c>
      <c r="E12" s="332"/>
      <c r="F12" s="330"/>
      <c r="G12" s="13">
        <f>D5*2</f>
        <v>6</v>
      </c>
      <c r="H12" s="13">
        <v>90</v>
      </c>
      <c r="I12" s="13" t="s">
        <v>337</v>
      </c>
      <c r="J12" s="13"/>
      <c r="K12" s="14"/>
    </row>
    <row r="13" spans="1:12" ht="14.4" x14ac:dyDescent="0.3">
      <c r="A13" s="353" t="s">
        <v>29</v>
      </c>
      <c r="B13" s="13" t="s">
        <v>283</v>
      </c>
      <c r="C13" s="13">
        <v>3216</v>
      </c>
      <c r="D13" s="346">
        <f>D3-2.4</f>
        <v>97.6</v>
      </c>
      <c r="E13" s="332"/>
      <c r="F13" s="330"/>
      <c r="G13" s="13">
        <f>D5*1</f>
        <v>3</v>
      </c>
      <c r="H13" s="13">
        <v>90</v>
      </c>
      <c r="I13" s="13"/>
      <c r="J13" s="13"/>
      <c r="K13" s="14"/>
    </row>
    <row r="14" spans="1:12" ht="14.4" x14ac:dyDescent="0.3">
      <c r="A14" s="354"/>
      <c r="B14" s="13" t="s">
        <v>278</v>
      </c>
      <c r="C14" s="13">
        <v>3216</v>
      </c>
      <c r="D14" s="346">
        <f>D3-3.3</f>
        <v>96.7</v>
      </c>
      <c r="E14" s="332"/>
      <c r="F14" s="330"/>
      <c r="G14" s="13">
        <f>D5*1</f>
        <v>3</v>
      </c>
      <c r="H14" s="13">
        <v>90</v>
      </c>
      <c r="I14" s="13"/>
      <c r="J14" s="13"/>
      <c r="K14" s="14"/>
    </row>
    <row r="15" spans="1:12" ht="14.4" x14ac:dyDescent="0.3">
      <c r="A15" s="354"/>
      <c r="B15" s="13" t="s">
        <v>284</v>
      </c>
      <c r="C15" s="13">
        <v>3215</v>
      </c>
      <c r="D15" s="346">
        <f>D3-2.4</f>
        <v>97.6</v>
      </c>
      <c r="E15" s="332"/>
      <c r="F15" s="330"/>
      <c r="G15" s="13">
        <f>D5*1</f>
        <v>3</v>
      </c>
      <c r="H15" s="13">
        <v>90</v>
      </c>
      <c r="I15" s="13"/>
      <c r="J15" s="13"/>
      <c r="K15" s="14"/>
    </row>
    <row r="16" spans="1:12" ht="14.4" x14ac:dyDescent="0.3">
      <c r="A16" s="354"/>
      <c r="B16" s="13" t="s">
        <v>279</v>
      </c>
      <c r="C16" s="13">
        <v>3215</v>
      </c>
      <c r="D16" s="346">
        <f>D3-3.3</f>
        <v>96.7</v>
      </c>
      <c r="E16" s="332"/>
      <c r="F16" s="330"/>
      <c r="G16" s="13">
        <f>D5*1</f>
        <v>3</v>
      </c>
      <c r="H16" s="13">
        <v>90</v>
      </c>
      <c r="I16" s="13"/>
      <c r="J16" s="13"/>
      <c r="K16" s="14"/>
    </row>
    <row r="17" spans="1:17" ht="14.4" x14ac:dyDescent="0.3">
      <c r="A17" s="354"/>
      <c r="B17" s="13" t="s">
        <v>338</v>
      </c>
      <c r="C17" s="15">
        <v>3212</v>
      </c>
      <c r="D17" s="346">
        <f>(D4-1.4)/2</f>
        <v>49.3</v>
      </c>
      <c r="E17" s="332"/>
      <c r="F17" s="330"/>
      <c r="G17" s="13">
        <f>D5*2</f>
        <v>6</v>
      </c>
      <c r="H17" s="13">
        <v>90</v>
      </c>
      <c r="I17" s="15"/>
      <c r="J17" s="13"/>
      <c r="K17" s="14"/>
    </row>
    <row r="18" spans="1:17" ht="14.4" x14ac:dyDescent="0.3">
      <c r="A18" s="354"/>
      <c r="B18" s="13" t="s">
        <v>339</v>
      </c>
      <c r="C18" s="15">
        <v>3214</v>
      </c>
      <c r="D18" s="346">
        <f>(D4-1.4)/2</f>
        <v>49.3</v>
      </c>
      <c r="E18" s="332"/>
      <c r="F18" s="330"/>
      <c r="G18" s="13">
        <f>D5*1</f>
        <v>3</v>
      </c>
      <c r="H18" s="13">
        <v>90</v>
      </c>
      <c r="I18" s="214"/>
      <c r="J18" s="76"/>
      <c r="K18" s="215"/>
    </row>
    <row r="19" spans="1:17" ht="14.4" x14ac:dyDescent="0.3">
      <c r="A19" s="342"/>
      <c r="B19" s="13" t="s">
        <v>340</v>
      </c>
      <c r="C19" s="15">
        <v>3213</v>
      </c>
      <c r="D19" s="346">
        <f>(D4-1.4)/2</f>
        <v>49.3</v>
      </c>
      <c r="E19" s="332"/>
      <c r="F19" s="330"/>
      <c r="G19" s="13">
        <f>D5*1</f>
        <v>3</v>
      </c>
      <c r="H19" s="13">
        <v>90</v>
      </c>
      <c r="I19" s="214"/>
      <c r="J19" s="76"/>
      <c r="K19" s="215"/>
    </row>
    <row r="20" spans="1:17" ht="16.5" customHeight="1" x14ac:dyDescent="0.3">
      <c r="A20" s="355" t="s">
        <v>39</v>
      </c>
      <c r="B20" s="359" t="s">
        <v>341</v>
      </c>
      <c r="C20" s="341"/>
      <c r="D20" s="16" t="s">
        <v>3</v>
      </c>
      <c r="E20" s="329" t="s">
        <v>41</v>
      </c>
      <c r="F20" s="330"/>
      <c r="G20" s="17"/>
      <c r="H20" s="18"/>
      <c r="I20" s="2"/>
      <c r="J20" s="2"/>
      <c r="K20" s="2"/>
    </row>
    <row r="21" spans="1:17" ht="15.75" customHeight="1" x14ac:dyDescent="0.3">
      <c r="A21" s="354"/>
      <c r="B21" s="354"/>
      <c r="C21" s="354"/>
      <c r="D21" s="528">
        <f>D3-9.3</f>
        <v>90.7</v>
      </c>
      <c r="E21" s="529">
        <f>D4/2-6.6</f>
        <v>43.4</v>
      </c>
      <c r="F21" s="336"/>
      <c r="G21" s="485">
        <f>D5*2</f>
        <v>6</v>
      </c>
      <c r="H21" s="485"/>
      <c r="I21" s="10"/>
      <c r="M21" s="2"/>
      <c r="N21" s="2"/>
    </row>
    <row r="22" spans="1:17" ht="15.75" customHeight="1" x14ac:dyDescent="0.3">
      <c r="A22" s="342"/>
      <c r="B22" s="342"/>
      <c r="C22" s="342"/>
      <c r="D22" s="342"/>
      <c r="E22" s="337"/>
      <c r="F22" s="339"/>
      <c r="G22" s="342"/>
      <c r="H22" s="342"/>
      <c r="I22" s="10"/>
      <c r="M22" s="2"/>
      <c r="N22" s="2"/>
    </row>
    <row r="23" spans="1:17" ht="15.75" customHeight="1" x14ac:dyDescent="0.3">
      <c r="A23" s="20" t="s">
        <v>42</v>
      </c>
      <c r="B23" s="13"/>
      <c r="C23" s="21"/>
      <c r="D23" s="356"/>
      <c r="E23" s="332"/>
      <c r="F23" s="330"/>
      <c r="G23" s="13">
        <f>(D21*4)+(E21*4)*D5</f>
        <v>883.59999999999991</v>
      </c>
      <c r="H23" s="13" t="s">
        <v>43</v>
      </c>
      <c r="I23" s="10"/>
      <c r="M23" s="2"/>
      <c r="N23" s="2"/>
    </row>
    <row r="24" spans="1:17" ht="15.75" customHeight="1" x14ac:dyDescent="0.3">
      <c r="A24" s="20" t="s">
        <v>44</v>
      </c>
      <c r="B24" s="13" t="s">
        <v>45</v>
      </c>
      <c r="C24" s="13"/>
      <c r="D24" s="333"/>
      <c r="E24" s="332"/>
      <c r="F24" s="330"/>
      <c r="G24" s="13">
        <f>D5*8</f>
        <v>24</v>
      </c>
      <c r="H24" s="13"/>
      <c r="I24" s="352"/>
      <c r="J24" s="2"/>
      <c r="K24" s="2"/>
      <c r="L24" s="2"/>
      <c r="M24" s="2"/>
      <c r="N24" s="2"/>
    </row>
    <row r="25" spans="1:17" ht="15.75" customHeight="1" x14ac:dyDescent="0.3">
      <c r="A25" s="20"/>
      <c r="B25" s="13" t="s">
        <v>46</v>
      </c>
      <c r="C25" s="13"/>
      <c r="D25" s="23"/>
      <c r="E25" s="23"/>
      <c r="F25" s="24"/>
      <c r="G25" s="24">
        <f>D5*8</f>
        <v>24</v>
      </c>
      <c r="H25" s="13"/>
      <c r="I25" s="327"/>
      <c r="J25" s="2"/>
      <c r="K25" s="2"/>
      <c r="L25" s="2"/>
      <c r="M25" s="2"/>
      <c r="N25" s="2"/>
    </row>
    <row r="26" spans="1:17" ht="15.75" customHeight="1" x14ac:dyDescent="0.3">
      <c r="A26" s="20"/>
      <c r="B26" s="13" t="s">
        <v>47</v>
      </c>
      <c r="C26" s="13"/>
      <c r="D26" s="22"/>
      <c r="E26" s="25"/>
      <c r="F26" s="24"/>
      <c r="G26" s="24">
        <f>D5*4</f>
        <v>12</v>
      </c>
      <c r="H26" s="13"/>
      <c r="I26" s="327"/>
      <c r="J26" s="2"/>
      <c r="K26" s="2"/>
      <c r="L26" s="2"/>
      <c r="M26" s="2"/>
      <c r="N26" s="2"/>
    </row>
    <row r="27" spans="1:17" ht="15.75" customHeight="1" x14ac:dyDescent="0.3">
      <c r="A27" s="20" t="s">
        <v>48</v>
      </c>
      <c r="B27" s="26" t="s">
        <v>49</v>
      </c>
      <c r="C27" s="13"/>
      <c r="D27" s="27"/>
      <c r="E27" s="23"/>
      <c r="F27" s="28"/>
      <c r="G27" s="24">
        <f>D5*2</f>
        <v>6</v>
      </c>
      <c r="H27" s="13"/>
      <c r="I27" s="10"/>
      <c r="J27" s="2"/>
      <c r="K27" s="29"/>
      <c r="L27" s="2"/>
      <c r="M27" s="2"/>
      <c r="N27" s="2"/>
    </row>
    <row r="28" spans="1:17" ht="15.75" customHeight="1" x14ac:dyDescent="0.3">
      <c r="A28" s="20" t="s">
        <v>50</v>
      </c>
      <c r="B28" s="13" t="s">
        <v>51</v>
      </c>
      <c r="C28" s="13" t="s">
        <v>342</v>
      </c>
      <c r="D28" s="340"/>
      <c r="E28" s="332"/>
      <c r="F28" s="330"/>
      <c r="G28" s="24">
        <f>D5*2</f>
        <v>6</v>
      </c>
      <c r="H28" s="13"/>
      <c r="I28" s="10"/>
      <c r="J28" s="2"/>
      <c r="K28" s="2"/>
      <c r="L28" s="2"/>
      <c r="M28" s="2"/>
      <c r="N28" s="2"/>
    </row>
    <row r="29" spans="1:17" ht="15.75" customHeight="1" x14ac:dyDescent="0.3">
      <c r="A29" s="20" t="s">
        <v>52</v>
      </c>
      <c r="B29" s="30">
        <v>0.25</v>
      </c>
      <c r="C29" s="13"/>
      <c r="D29" s="22"/>
      <c r="E29" s="25"/>
      <c r="F29" s="24"/>
      <c r="G29" s="24">
        <f>D5*4</f>
        <v>12</v>
      </c>
      <c r="H29" s="13"/>
      <c r="I29" s="10"/>
      <c r="J29" s="2"/>
      <c r="K29" s="2"/>
      <c r="L29" s="2"/>
      <c r="M29" s="2"/>
      <c r="N29" s="2"/>
    </row>
    <row r="30" spans="1:17" ht="15.75" customHeight="1" x14ac:dyDescent="0.3">
      <c r="A30" s="20"/>
      <c r="B30" s="13"/>
      <c r="C30" s="13"/>
      <c r="D30" s="333"/>
      <c r="E30" s="332"/>
      <c r="F30" s="330"/>
      <c r="G30" s="24">
        <f>D5*4</f>
        <v>12</v>
      </c>
      <c r="H30" s="13"/>
      <c r="I30" s="10"/>
      <c r="J30" s="2"/>
      <c r="K30" s="2"/>
      <c r="L30" s="2"/>
      <c r="M30" s="2"/>
      <c r="N30" s="2"/>
    </row>
    <row r="31" spans="1:17" ht="15.75" customHeight="1" x14ac:dyDescent="0.3">
      <c r="A31" s="20" t="s">
        <v>54</v>
      </c>
      <c r="B31" s="13" t="s">
        <v>343</v>
      </c>
      <c r="C31" s="13"/>
      <c r="D31" s="333"/>
      <c r="E31" s="332"/>
      <c r="F31" s="330"/>
      <c r="G31" s="24">
        <f>D5*1</f>
        <v>3</v>
      </c>
      <c r="H31" s="13"/>
      <c r="I31" s="10"/>
      <c r="J31" s="2"/>
      <c r="K31" s="2"/>
      <c r="O31" s="2"/>
      <c r="P31" s="2"/>
      <c r="Q31" s="2"/>
    </row>
    <row r="32" spans="1:17" ht="15.75" customHeight="1" x14ac:dyDescent="0.3">
      <c r="A32" s="331" t="s">
        <v>56</v>
      </c>
      <c r="B32" s="330"/>
      <c r="C32" s="331"/>
      <c r="D32" s="332"/>
      <c r="E32" s="332"/>
      <c r="F32" s="332"/>
      <c r="G32" s="332"/>
      <c r="H32" s="330"/>
      <c r="I32" s="10"/>
      <c r="J32" s="2"/>
      <c r="K32" s="2"/>
    </row>
    <row r="33" spans="1:11" ht="15.75" customHeight="1" x14ac:dyDescent="0.3">
      <c r="A33" s="331" t="s">
        <v>57</v>
      </c>
      <c r="B33" s="330"/>
      <c r="C33" s="331"/>
      <c r="D33" s="332"/>
      <c r="E33" s="332"/>
      <c r="F33" s="332"/>
      <c r="G33" s="332"/>
      <c r="H33" s="330"/>
      <c r="I33" s="10"/>
      <c r="J33" s="2"/>
      <c r="K33" s="2"/>
    </row>
    <row r="34" spans="1:11" ht="15.75" customHeight="1" x14ac:dyDescent="0.3">
      <c r="A34" s="334" t="s">
        <v>58</v>
      </c>
      <c r="B34" s="335"/>
      <c r="C34" s="335"/>
      <c r="D34" s="335"/>
      <c r="E34" s="336"/>
      <c r="F34" s="331"/>
      <c r="G34" s="332"/>
      <c r="H34" s="330"/>
      <c r="I34" s="10"/>
      <c r="J34" s="2"/>
      <c r="K34" s="2"/>
    </row>
    <row r="35" spans="1:11" ht="15.75" customHeight="1" x14ac:dyDescent="0.3">
      <c r="A35" s="337"/>
      <c r="B35" s="338"/>
      <c r="C35" s="338"/>
      <c r="D35" s="338"/>
      <c r="E35" s="339"/>
      <c r="F35" s="331" t="s">
        <v>59</v>
      </c>
      <c r="G35" s="332"/>
      <c r="H35" s="330"/>
      <c r="I35" s="10"/>
      <c r="J35" s="2"/>
      <c r="K35" s="2"/>
    </row>
    <row r="36" spans="1:11" ht="15.75" customHeight="1" x14ac:dyDescent="0.3">
      <c r="A36" s="31"/>
      <c r="B36" s="32"/>
      <c r="C36" s="33"/>
      <c r="D36" s="32"/>
      <c r="E36" s="32"/>
      <c r="F36" s="32"/>
      <c r="G36" s="32"/>
      <c r="H36" s="32"/>
      <c r="I36" s="34"/>
      <c r="J36" s="2"/>
      <c r="K36" s="2"/>
    </row>
    <row r="37" spans="1:11" ht="15.75" customHeight="1" x14ac:dyDescent="0.3">
      <c r="A37" s="31"/>
      <c r="B37" s="32"/>
      <c r="C37" s="32"/>
      <c r="D37" s="32"/>
      <c r="E37" s="32"/>
      <c r="F37" s="326"/>
      <c r="G37" s="32"/>
      <c r="H37" s="32"/>
      <c r="I37" s="34"/>
      <c r="J37" s="2"/>
      <c r="K37" s="2"/>
    </row>
    <row r="38" spans="1:11" ht="15.75" customHeight="1" x14ac:dyDescent="0.3">
      <c r="A38" s="31"/>
      <c r="B38" s="32"/>
      <c r="C38" s="32"/>
      <c r="D38" s="32"/>
      <c r="E38" s="32"/>
      <c r="F38" s="327"/>
      <c r="G38" s="32"/>
      <c r="H38" s="32"/>
      <c r="I38" s="34"/>
      <c r="J38" s="2"/>
      <c r="K38" s="2"/>
    </row>
    <row r="39" spans="1:11" ht="15.75" customHeight="1" x14ac:dyDescent="0.3">
      <c r="A39" s="31"/>
      <c r="B39" s="32"/>
      <c r="C39" s="32"/>
      <c r="D39" s="32"/>
      <c r="E39" s="32"/>
      <c r="F39" s="327"/>
      <c r="G39" s="32"/>
      <c r="H39" s="32"/>
      <c r="I39" s="34"/>
      <c r="J39" s="2"/>
      <c r="K39" s="2"/>
    </row>
    <row r="40" spans="1:11" ht="15.75" customHeight="1" x14ac:dyDescent="0.4">
      <c r="A40" s="31"/>
      <c r="B40" s="32"/>
      <c r="C40" s="32"/>
      <c r="D40" s="32"/>
      <c r="E40" s="35"/>
      <c r="F40" s="327"/>
      <c r="G40" s="32"/>
      <c r="H40" s="32"/>
      <c r="I40" s="34"/>
      <c r="J40" s="2"/>
      <c r="K40" s="2"/>
    </row>
    <row r="41" spans="1:11" ht="15.75" customHeight="1" x14ac:dyDescent="0.3">
      <c r="A41" s="36"/>
      <c r="B41" s="32"/>
      <c r="C41" s="32"/>
      <c r="D41" s="32"/>
      <c r="E41" s="32"/>
      <c r="F41" s="327"/>
      <c r="G41" s="32"/>
      <c r="H41" s="32"/>
      <c r="I41" s="34"/>
      <c r="J41" s="2"/>
      <c r="K41" s="2"/>
    </row>
    <row r="42" spans="1:11" ht="15.75" customHeight="1" x14ac:dyDescent="0.3">
      <c r="A42" s="31"/>
      <c r="B42" s="32"/>
      <c r="C42" s="32"/>
      <c r="D42" s="32"/>
      <c r="E42" s="32"/>
      <c r="F42" s="327"/>
      <c r="G42" s="32"/>
      <c r="H42" s="32"/>
      <c r="I42" s="34"/>
      <c r="J42" s="2"/>
      <c r="K42" s="2"/>
    </row>
    <row r="43" spans="1:11" ht="15.75" customHeight="1" x14ac:dyDescent="0.3">
      <c r="A43" s="31"/>
      <c r="B43" s="32"/>
      <c r="C43" s="32"/>
      <c r="D43" s="32"/>
      <c r="E43" s="32"/>
      <c r="F43" s="327"/>
      <c r="G43" s="32"/>
      <c r="H43" s="32"/>
      <c r="I43" s="34"/>
      <c r="J43" s="2"/>
      <c r="K43" s="2"/>
    </row>
    <row r="44" spans="1:11" ht="15.75" customHeight="1" x14ac:dyDescent="0.3">
      <c r="A44" s="31"/>
      <c r="B44" s="32"/>
      <c r="C44" s="32"/>
      <c r="D44" s="32"/>
      <c r="E44" s="32"/>
      <c r="F44" s="327"/>
      <c r="G44" s="32"/>
      <c r="H44" s="32"/>
      <c r="I44" s="34"/>
      <c r="J44" s="2"/>
      <c r="K44" s="2"/>
    </row>
    <row r="45" spans="1:11" ht="15.75" customHeight="1" x14ac:dyDescent="0.3">
      <c r="A45" s="31"/>
      <c r="B45" s="32"/>
      <c r="C45" s="32"/>
      <c r="D45" s="32"/>
      <c r="E45" s="32"/>
      <c r="F45" s="327"/>
      <c r="G45" s="32"/>
      <c r="H45" s="32"/>
      <c r="I45" s="34"/>
      <c r="J45" s="2"/>
      <c r="K45" s="2"/>
    </row>
    <row r="46" spans="1:11" ht="15.75" customHeight="1" x14ac:dyDescent="0.3">
      <c r="A46" s="31"/>
      <c r="B46" s="32"/>
      <c r="C46" s="32"/>
      <c r="D46" s="32"/>
      <c r="E46" s="32"/>
      <c r="F46" s="327"/>
      <c r="G46" s="32"/>
      <c r="H46" s="32"/>
      <c r="I46" s="34"/>
      <c r="J46" s="2"/>
      <c r="K46" s="2"/>
    </row>
    <row r="47" spans="1:11" ht="15.75" customHeight="1" x14ac:dyDescent="0.4">
      <c r="A47" s="31"/>
      <c r="B47" s="328"/>
      <c r="C47" s="327"/>
      <c r="D47" s="327"/>
      <c r="E47" s="32"/>
      <c r="F47" s="2"/>
      <c r="G47" s="32"/>
      <c r="H47" s="32"/>
      <c r="I47" s="34"/>
      <c r="J47" s="2"/>
      <c r="K47" s="2"/>
    </row>
    <row r="48" spans="1:11" ht="15.75" customHeight="1" x14ac:dyDescent="0.3">
      <c r="A48" s="31"/>
      <c r="B48" s="32"/>
      <c r="C48" s="33"/>
      <c r="D48" s="32"/>
      <c r="E48" s="32"/>
      <c r="F48" s="32"/>
      <c r="G48" s="32"/>
      <c r="H48" s="32"/>
      <c r="I48" s="34"/>
      <c r="J48" s="2"/>
      <c r="K48" s="2"/>
    </row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</sheetData>
  <mergeCells count="53">
    <mergeCell ref="A5:C5"/>
    <mergeCell ref="E5:H5"/>
    <mergeCell ref="D8:F9"/>
    <mergeCell ref="C8:C9"/>
    <mergeCell ref="C7:H7"/>
    <mergeCell ref="A8:B9"/>
    <mergeCell ref="E3:H3"/>
    <mergeCell ref="E4:H4"/>
    <mergeCell ref="A2:H2"/>
    <mergeCell ref="A1:H1"/>
    <mergeCell ref="A3:C3"/>
    <mergeCell ref="A4:C4"/>
    <mergeCell ref="A10:A12"/>
    <mergeCell ref="A6:B6"/>
    <mergeCell ref="A7:B7"/>
    <mergeCell ref="A13:A19"/>
    <mergeCell ref="I24:I26"/>
    <mergeCell ref="E20:F20"/>
    <mergeCell ref="E21:F22"/>
    <mergeCell ref="G21:G22"/>
    <mergeCell ref="H21:H22"/>
    <mergeCell ref="D10:F10"/>
    <mergeCell ref="C6:H6"/>
    <mergeCell ref="H8:H9"/>
    <mergeCell ref="G8:G9"/>
    <mergeCell ref="D21:D22"/>
    <mergeCell ref="I8:K8"/>
    <mergeCell ref="B47:D47"/>
    <mergeCell ref="C20:C22"/>
    <mergeCell ref="D14:F14"/>
    <mergeCell ref="D19:F19"/>
    <mergeCell ref="D11:F11"/>
    <mergeCell ref="D12:F12"/>
    <mergeCell ref="D18:F18"/>
    <mergeCell ref="D17:F17"/>
    <mergeCell ref="D13:F13"/>
    <mergeCell ref="D23:F23"/>
    <mergeCell ref="D24:F24"/>
    <mergeCell ref="C32:H32"/>
    <mergeCell ref="D15:F15"/>
    <mergeCell ref="D16:F16"/>
    <mergeCell ref="F37:F46"/>
    <mergeCell ref="A34:E35"/>
    <mergeCell ref="D28:F28"/>
    <mergeCell ref="A20:A22"/>
    <mergeCell ref="B20:B22"/>
    <mergeCell ref="F35:H35"/>
    <mergeCell ref="F34:H34"/>
    <mergeCell ref="C33:H33"/>
    <mergeCell ref="A32:B32"/>
    <mergeCell ref="D30:F30"/>
    <mergeCell ref="D31:F31"/>
    <mergeCell ref="A33:B33"/>
  </mergeCell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7"/>
  <sheetViews>
    <sheetView workbookViewId="0"/>
  </sheetViews>
  <sheetFormatPr baseColWidth="10" defaultColWidth="14.44140625" defaultRowHeight="15" customHeight="1" x14ac:dyDescent="0.3"/>
  <cols>
    <col min="1" max="1" width="15.109375" customWidth="1"/>
    <col min="2" max="2" width="23.33203125" customWidth="1"/>
    <col min="3" max="3" width="11.109375" customWidth="1"/>
    <col min="4" max="4" width="11.6640625" customWidth="1"/>
    <col min="5" max="5" width="8.33203125" customWidth="1"/>
    <col min="6" max="6" width="2.6640625" customWidth="1"/>
    <col min="7" max="7" width="7" customWidth="1"/>
    <col min="8" max="8" width="8.109375" customWidth="1"/>
    <col min="9" max="9" width="15.88671875" customWidth="1"/>
    <col min="10" max="10" width="18.33203125" customWidth="1"/>
    <col min="11" max="11" width="17.44140625" customWidth="1"/>
    <col min="12" max="12" width="13.88671875" customWidth="1"/>
    <col min="13" max="17" width="8.5546875" customWidth="1"/>
  </cols>
  <sheetData>
    <row r="1" spans="1:12" ht="22.8" x14ac:dyDescent="0.4">
      <c r="A1" s="344"/>
      <c r="B1" s="332"/>
      <c r="C1" s="332"/>
      <c r="D1" s="332"/>
      <c r="E1" s="332"/>
      <c r="F1" s="332"/>
      <c r="G1" s="332"/>
      <c r="H1" s="330"/>
      <c r="I1" s="1"/>
      <c r="J1" s="2"/>
      <c r="K1" s="2"/>
    </row>
    <row r="2" spans="1:12" ht="21" x14ac:dyDescent="0.4">
      <c r="A2" s="343" t="s">
        <v>344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2" ht="21" x14ac:dyDescent="0.4">
      <c r="A3" s="345" t="s">
        <v>3</v>
      </c>
      <c r="B3" s="332"/>
      <c r="C3" s="330"/>
      <c r="D3" s="6">
        <v>220</v>
      </c>
      <c r="E3" s="345" t="s">
        <v>4</v>
      </c>
      <c r="F3" s="332"/>
      <c r="G3" s="332"/>
      <c r="H3" s="330"/>
      <c r="I3" s="1"/>
      <c r="J3" s="2"/>
      <c r="K3" s="2"/>
    </row>
    <row r="4" spans="1:12" ht="21" x14ac:dyDescent="0.4">
      <c r="A4" s="347" t="s">
        <v>6</v>
      </c>
      <c r="B4" s="332"/>
      <c r="C4" s="330"/>
      <c r="D4" s="6">
        <v>200</v>
      </c>
      <c r="E4" s="345" t="s">
        <v>4</v>
      </c>
      <c r="F4" s="332"/>
      <c r="G4" s="332"/>
      <c r="H4" s="330"/>
      <c r="I4" s="7"/>
      <c r="J4" s="2"/>
      <c r="K4" s="2"/>
    </row>
    <row r="5" spans="1:12" ht="21" x14ac:dyDescent="0.4">
      <c r="A5" s="347" t="s">
        <v>7</v>
      </c>
      <c r="B5" s="332"/>
      <c r="C5" s="330"/>
      <c r="D5" s="8">
        <v>1</v>
      </c>
      <c r="E5" s="345"/>
      <c r="F5" s="332"/>
      <c r="G5" s="332"/>
      <c r="H5" s="330"/>
      <c r="I5" s="9"/>
      <c r="J5" s="2"/>
      <c r="K5" s="2"/>
    </row>
    <row r="6" spans="1:12" ht="17.399999999999999" x14ac:dyDescent="0.3">
      <c r="A6" s="347" t="s">
        <v>8</v>
      </c>
      <c r="B6" s="330"/>
      <c r="C6" s="331"/>
      <c r="D6" s="332"/>
      <c r="E6" s="332"/>
      <c r="F6" s="332"/>
      <c r="G6" s="332"/>
      <c r="H6" s="330"/>
      <c r="I6" s="10"/>
      <c r="J6" s="2"/>
      <c r="K6" s="2"/>
    </row>
    <row r="7" spans="1:12" ht="17.25" customHeight="1" x14ac:dyDescent="0.3">
      <c r="A7" s="347" t="s">
        <v>9</v>
      </c>
      <c r="B7" s="330"/>
      <c r="C7" s="331"/>
      <c r="D7" s="332"/>
      <c r="E7" s="332"/>
      <c r="F7" s="332"/>
      <c r="G7" s="332"/>
      <c r="H7" s="330"/>
      <c r="I7" s="10"/>
      <c r="J7" s="2"/>
      <c r="K7" s="2"/>
    </row>
    <row r="8" spans="1:12" ht="18.75" customHeight="1" x14ac:dyDescent="0.4">
      <c r="A8" s="350" t="s">
        <v>10</v>
      </c>
      <c r="B8" s="336"/>
      <c r="C8" s="349" t="s">
        <v>11</v>
      </c>
      <c r="D8" s="348" t="s">
        <v>12</v>
      </c>
      <c r="E8" s="335"/>
      <c r="F8" s="336"/>
      <c r="G8" s="351" t="s">
        <v>13</v>
      </c>
      <c r="H8" s="351" t="s">
        <v>14</v>
      </c>
      <c r="I8" s="358"/>
      <c r="J8" s="332"/>
      <c r="K8" s="330"/>
    </row>
    <row r="9" spans="1:12" ht="19.5" customHeight="1" x14ac:dyDescent="0.4">
      <c r="A9" s="337"/>
      <c r="B9" s="339"/>
      <c r="C9" s="342"/>
      <c r="D9" s="337"/>
      <c r="E9" s="338"/>
      <c r="F9" s="339"/>
      <c r="G9" s="342"/>
      <c r="H9" s="342"/>
      <c r="I9" s="12"/>
      <c r="J9" s="12"/>
      <c r="K9" s="12"/>
    </row>
    <row r="10" spans="1:12" ht="14.4" x14ac:dyDescent="0.3">
      <c r="A10" s="353" t="s">
        <v>19</v>
      </c>
      <c r="B10" s="13" t="s">
        <v>20</v>
      </c>
      <c r="C10" s="13">
        <v>3207</v>
      </c>
      <c r="D10" s="346">
        <f>D4</f>
        <v>200</v>
      </c>
      <c r="E10" s="332"/>
      <c r="F10" s="330"/>
      <c r="G10" s="13">
        <f>D5*1</f>
        <v>1</v>
      </c>
      <c r="H10" s="13">
        <v>90</v>
      </c>
      <c r="I10" s="13"/>
      <c r="J10" s="13"/>
      <c r="K10" s="14"/>
      <c r="L10" s="2"/>
    </row>
    <row r="11" spans="1:12" ht="14.4" x14ac:dyDescent="0.3">
      <c r="A11" s="354"/>
      <c r="B11" s="13" t="s">
        <v>23</v>
      </c>
      <c r="C11" s="13">
        <v>3208</v>
      </c>
      <c r="D11" s="346">
        <f>D4</f>
        <v>200</v>
      </c>
      <c r="E11" s="332"/>
      <c r="F11" s="330"/>
      <c r="G11" s="13">
        <f>D5*1</f>
        <v>1</v>
      </c>
      <c r="H11" s="13">
        <v>90</v>
      </c>
      <c r="I11" s="13"/>
      <c r="J11" s="13"/>
      <c r="K11" s="14"/>
    </row>
    <row r="12" spans="1:12" ht="14.4" x14ac:dyDescent="0.3">
      <c r="A12" s="342"/>
      <c r="B12" s="13" t="s">
        <v>26</v>
      </c>
      <c r="C12" s="13">
        <v>3211</v>
      </c>
      <c r="D12" s="346">
        <f>D3-1.1</f>
        <v>218.9</v>
      </c>
      <c r="E12" s="332"/>
      <c r="F12" s="330"/>
      <c r="G12" s="13">
        <f>D5*2</f>
        <v>2</v>
      </c>
      <c r="H12" s="13">
        <v>90</v>
      </c>
      <c r="I12" s="13" t="s">
        <v>337</v>
      </c>
      <c r="J12" s="13"/>
      <c r="K12" s="14"/>
    </row>
    <row r="13" spans="1:12" ht="14.4" x14ac:dyDescent="0.3">
      <c r="A13" s="353" t="s">
        <v>29</v>
      </c>
      <c r="B13" s="13" t="s">
        <v>283</v>
      </c>
      <c r="C13" s="13">
        <v>3216</v>
      </c>
      <c r="D13" s="346">
        <f>D3-2.4</f>
        <v>217.6</v>
      </c>
      <c r="E13" s="332"/>
      <c r="F13" s="330"/>
      <c r="G13" s="13">
        <f>D5*2</f>
        <v>2</v>
      </c>
      <c r="H13" s="13">
        <v>90</v>
      </c>
      <c r="I13" s="13"/>
      <c r="J13" s="13"/>
      <c r="K13" s="14"/>
    </row>
    <row r="14" spans="1:12" ht="14.4" x14ac:dyDescent="0.3">
      <c r="A14" s="354"/>
      <c r="B14" s="13" t="s">
        <v>278</v>
      </c>
      <c r="C14" s="13">
        <v>3216</v>
      </c>
      <c r="D14" s="346">
        <f>D3-3.3</f>
        <v>216.7</v>
      </c>
      <c r="E14" s="332"/>
      <c r="F14" s="330"/>
      <c r="G14" s="13">
        <f>D5*2</f>
        <v>2</v>
      </c>
      <c r="H14" s="13">
        <v>90</v>
      </c>
      <c r="I14" s="13"/>
      <c r="J14" s="13"/>
      <c r="K14" s="14"/>
    </row>
    <row r="15" spans="1:12" ht="14.4" x14ac:dyDescent="0.3">
      <c r="A15" s="354"/>
      <c r="B15" s="13" t="s">
        <v>284</v>
      </c>
      <c r="C15" s="13">
        <v>3215</v>
      </c>
      <c r="D15" s="346" t="s">
        <v>345</v>
      </c>
      <c r="E15" s="332"/>
      <c r="F15" s="330"/>
      <c r="G15" s="13">
        <f>D5*0</f>
        <v>0</v>
      </c>
      <c r="H15" s="13">
        <v>90</v>
      </c>
      <c r="I15" s="13"/>
      <c r="J15" s="13"/>
      <c r="K15" s="14"/>
    </row>
    <row r="16" spans="1:12" ht="14.4" x14ac:dyDescent="0.3">
      <c r="A16" s="354"/>
      <c r="B16" s="13" t="s">
        <v>279</v>
      </c>
      <c r="C16" s="13">
        <v>3215</v>
      </c>
      <c r="D16" s="346">
        <f>D3-3.3</f>
        <v>216.7</v>
      </c>
      <c r="E16" s="332"/>
      <c r="F16" s="330"/>
      <c r="G16" s="13">
        <f>D5*2</f>
        <v>2</v>
      </c>
      <c r="H16" s="13">
        <v>90</v>
      </c>
      <c r="I16" s="13"/>
      <c r="J16" s="13"/>
      <c r="K16" s="14"/>
    </row>
    <row r="17" spans="1:14" ht="14.4" x14ac:dyDescent="0.3">
      <c r="A17" s="354"/>
      <c r="B17" s="13" t="s">
        <v>346</v>
      </c>
      <c r="C17" s="15">
        <v>3212</v>
      </c>
      <c r="D17" s="346">
        <f>(D4/3)+0.5</f>
        <v>67.166666666666671</v>
      </c>
      <c r="E17" s="332"/>
      <c r="F17" s="330"/>
      <c r="G17" s="13">
        <f>D5*2</f>
        <v>2</v>
      </c>
      <c r="H17" s="13">
        <v>90</v>
      </c>
      <c r="I17" s="15"/>
      <c r="J17" s="13"/>
      <c r="K17" s="14"/>
    </row>
    <row r="18" spans="1:14" ht="14.4" x14ac:dyDescent="0.3">
      <c r="A18" s="354"/>
      <c r="B18" s="13" t="s">
        <v>347</v>
      </c>
      <c r="C18" s="15">
        <v>3212</v>
      </c>
      <c r="D18" s="346">
        <f>(D4/3)+2</f>
        <v>68.666666666666671</v>
      </c>
      <c r="E18" s="332"/>
      <c r="F18" s="330"/>
      <c r="G18" s="13">
        <f>D5*1</f>
        <v>1</v>
      </c>
      <c r="H18" s="13">
        <v>90</v>
      </c>
      <c r="I18" s="214"/>
      <c r="J18" s="76"/>
      <c r="K18" s="215"/>
    </row>
    <row r="19" spans="1:14" ht="14.4" x14ac:dyDescent="0.3">
      <c r="A19" s="354"/>
      <c r="B19" s="13" t="s">
        <v>339</v>
      </c>
      <c r="C19" s="15">
        <v>3214</v>
      </c>
      <c r="D19" s="346">
        <f>(D4/3)+0.5</f>
        <v>67.166666666666671</v>
      </c>
      <c r="E19" s="332"/>
      <c r="F19" s="330"/>
      <c r="G19" s="13">
        <f>D5*2</f>
        <v>2</v>
      </c>
      <c r="H19" s="13">
        <v>90</v>
      </c>
      <c r="I19" s="214"/>
      <c r="J19" s="76"/>
      <c r="K19" s="215"/>
    </row>
    <row r="20" spans="1:14" ht="14.4" x14ac:dyDescent="0.3">
      <c r="A20" s="342"/>
      <c r="B20" s="13" t="s">
        <v>340</v>
      </c>
      <c r="C20" s="15">
        <v>3213</v>
      </c>
      <c r="D20" s="346">
        <f>(D4/3)+2</f>
        <v>68.666666666666671</v>
      </c>
      <c r="E20" s="332"/>
      <c r="F20" s="330"/>
      <c r="G20" s="13">
        <f>D5*1</f>
        <v>1</v>
      </c>
      <c r="H20" s="13">
        <v>90</v>
      </c>
      <c r="I20" s="214"/>
      <c r="J20" s="76"/>
      <c r="K20" s="215"/>
    </row>
    <row r="21" spans="1:14" ht="16.5" customHeight="1" x14ac:dyDescent="0.3">
      <c r="A21" s="355" t="s">
        <v>39</v>
      </c>
      <c r="B21" s="359" t="s">
        <v>341</v>
      </c>
      <c r="C21" s="341"/>
      <c r="D21" s="16" t="s">
        <v>3</v>
      </c>
      <c r="E21" s="329" t="s">
        <v>41</v>
      </c>
      <c r="F21" s="330"/>
      <c r="G21" s="17"/>
      <c r="H21" s="18"/>
      <c r="I21" s="2"/>
      <c r="J21" s="2"/>
      <c r="K21" s="2"/>
    </row>
    <row r="22" spans="1:14" ht="15.75" customHeight="1" x14ac:dyDescent="0.3">
      <c r="A22" s="354"/>
      <c r="B22" s="354"/>
      <c r="C22" s="354"/>
      <c r="D22" s="528">
        <f>D3-9.3</f>
        <v>210.7</v>
      </c>
      <c r="E22" s="529">
        <f>D4/3-5.7</f>
        <v>60.966666666666669</v>
      </c>
      <c r="F22" s="336"/>
      <c r="G22" s="485">
        <f>D5*2</f>
        <v>2</v>
      </c>
      <c r="H22" s="485" t="s">
        <v>280</v>
      </c>
      <c r="I22" s="10"/>
      <c r="M22" s="2"/>
      <c r="N22" s="2"/>
    </row>
    <row r="23" spans="1:14" ht="15.75" customHeight="1" x14ac:dyDescent="0.3">
      <c r="A23" s="354"/>
      <c r="B23" s="354"/>
      <c r="C23" s="354"/>
      <c r="D23" s="342"/>
      <c r="E23" s="337"/>
      <c r="F23" s="339"/>
      <c r="G23" s="342"/>
      <c r="H23" s="342"/>
      <c r="I23" s="10"/>
      <c r="M23" s="2"/>
      <c r="N23" s="2"/>
    </row>
    <row r="24" spans="1:14" ht="15.75" customHeight="1" x14ac:dyDescent="0.3">
      <c r="A24" s="342"/>
      <c r="B24" s="342"/>
      <c r="C24" s="342"/>
      <c r="D24" s="19">
        <f>D3-9.3</f>
        <v>210.7</v>
      </c>
      <c r="E24" s="357">
        <f>(D4/3)-4.3</f>
        <v>62.366666666666674</v>
      </c>
      <c r="F24" s="330"/>
      <c r="G24" s="18">
        <f>D5*1</f>
        <v>1</v>
      </c>
      <c r="H24" s="18" t="s">
        <v>159</v>
      </c>
      <c r="I24" s="10"/>
      <c r="M24" s="2"/>
      <c r="N24" s="2"/>
    </row>
    <row r="25" spans="1:14" ht="15.75" customHeight="1" x14ac:dyDescent="0.3">
      <c r="A25" s="20" t="s">
        <v>42</v>
      </c>
      <c r="B25" s="13"/>
      <c r="C25" s="21"/>
      <c r="D25" s="356"/>
      <c r="E25" s="332"/>
      <c r="F25" s="330"/>
      <c r="G25" s="13">
        <f>(D22*4)+(E22*4)*D5</f>
        <v>1086.6666666666665</v>
      </c>
      <c r="H25" s="13" t="s">
        <v>43</v>
      </c>
      <c r="I25" s="10"/>
      <c r="M25" s="2"/>
      <c r="N25" s="2"/>
    </row>
    <row r="26" spans="1:14" ht="15.75" customHeight="1" x14ac:dyDescent="0.3">
      <c r="A26" s="20" t="s">
        <v>44</v>
      </c>
      <c r="B26" s="13" t="s">
        <v>45</v>
      </c>
      <c r="C26" s="13"/>
      <c r="D26" s="333"/>
      <c r="E26" s="332"/>
      <c r="F26" s="330"/>
      <c r="G26" s="13">
        <f>D5*8</f>
        <v>8</v>
      </c>
      <c r="H26" s="13"/>
      <c r="I26" s="352"/>
      <c r="J26" s="2"/>
      <c r="K26" s="2"/>
      <c r="L26" s="2"/>
      <c r="M26" s="2"/>
      <c r="N26" s="2"/>
    </row>
    <row r="27" spans="1:14" ht="15.75" customHeight="1" x14ac:dyDescent="0.3">
      <c r="A27" s="20"/>
      <c r="B27" s="13" t="s">
        <v>46</v>
      </c>
      <c r="C27" s="13"/>
      <c r="D27" s="23"/>
      <c r="E27" s="23"/>
      <c r="F27" s="24"/>
      <c r="G27" s="24">
        <f>D5*8</f>
        <v>8</v>
      </c>
      <c r="H27" s="13"/>
      <c r="I27" s="327"/>
      <c r="J27" s="2"/>
      <c r="K27" s="2"/>
      <c r="L27" s="2"/>
      <c r="M27" s="2"/>
      <c r="N27" s="2"/>
    </row>
    <row r="28" spans="1:14" ht="15.75" customHeight="1" x14ac:dyDescent="0.3">
      <c r="A28" s="20"/>
      <c r="B28" s="13" t="s">
        <v>47</v>
      </c>
      <c r="C28" s="13"/>
      <c r="D28" s="22"/>
      <c r="E28" s="25"/>
      <c r="F28" s="24"/>
      <c r="G28" s="24">
        <f>D5*4</f>
        <v>4</v>
      </c>
      <c r="H28" s="13"/>
      <c r="I28" s="327"/>
      <c r="J28" s="2"/>
      <c r="K28" s="2"/>
      <c r="L28" s="2"/>
      <c r="M28" s="2"/>
      <c r="N28" s="2"/>
    </row>
    <row r="29" spans="1:14" ht="15.75" customHeight="1" x14ac:dyDescent="0.3">
      <c r="A29" s="20" t="s">
        <v>48</v>
      </c>
      <c r="B29" s="26" t="s">
        <v>49</v>
      </c>
      <c r="C29" s="13"/>
      <c r="D29" s="27"/>
      <c r="E29" s="23"/>
      <c r="F29" s="28"/>
      <c r="G29" s="24">
        <f>D5*2</f>
        <v>2</v>
      </c>
      <c r="H29" s="13"/>
      <c r="I29" s="10"/>
      <c r="J29" s="2"/>
      <c r="K29" s="29"/>
      <c r="L29" s="2"/>
      <c r="M29" s="2"/>
      <c r="N29" s="2"/>
    </row>
    <row r="30" spans="1:14" ht="15.75" customHeight="1" x14ac:dyDescent="0.3">
      <c r="A30" s="20" t="s">
        <v>50</v>
      </c>
      <c r="B30" s="13" t="s">
        <v>51</v>
      </c>
      <c r="C30" s="13" t="s">
        <v>342</v>
      </c>
      <c r="D30" s="340"/>
      <c r="E30" s="332"/>
      <c r="F30" s="330"/>
      <c r="G30" s="24">
        <f>D5*4</f>
        <v>4</v>
      </c>
      <c r="H30" s="13"/>
      <c r="I30" s="10"/>
      <c r="J30" s="2"/>
      <c r="K30" s="2"/>
      <c r="L30" s="2"/>
      <c r="M30" s="2"/>
      <c r="N30" s="2"/>
    </row>
    <row r="31" spans="1:14" ht="15.75" customHeight="1" x14ac:dyDescent="0.3">
      <c r="A31" s="20" t="s">
        <v>52</v>
      </c>
      <c r="B31" s="30">
        <v>0.25</v>
      </c>
      <c r="C31" s="13"/>
      <c r="D31" s="22"/>
      <c r="E31" s="25"/>
      <c r="F31" s="24"/>
      <c r="G31" s="24">
        <f>D5*4</f>
        <v>4</v>
      </c>
      <c r="H31" s="13"/>
      <c r="I31" s="10"/>
      <c r="J31" s="2"/>
      <c r="K31" s="2"/>
      <c r="L31" s="2"/>
      <c r="M31" s="2"/>
      <c r="N31" s="2"/>
    </row>
    <row r="32" spans="1:14" ht="15.75" customHeight="1" x14ac:dyDescent="0.3">
      <c r="A32" s="20"/>
      <c r="B32" s="13"/>
      <c r="C32" s="13"/>
      <c r="D32" s="333"/>
      <c r="E32" s="332"/>
      <c r="F32" s="330"/>
      <c r="G32" s="24">
        <f>D5*4</f>
        <v>4</v>
      </c>
      <c r="H32" s="13"/>
      <c r="I32" s="10"/>
      <c r="J32" s="2"/>
      <c r="K32" s="2"/>
      <c r="L32" s="2"/>
      <c r="M32" s="2"/>
      <c r="N32" s="2"/>
    </row>
    <row r="33" spans="1:17" ht="15.75" customHeight="1" x14ac:dyDescent="0.3">
      <c r="A33" s="20" t="s">
        <v>54</v>
      </c>
      <c r="B33" s="13" t="s">
        <v>343</v>
      </c>
      <c r="C33" s="13"/>
      <c r="D33" s="333"/>
      <c r="E33" s="332"/>
      <c r="F33" s="330"/>
      <c r="G33" s="24">
        <f>D5*2</f>
        <v>2</v>
      </c>
      <c r="H33" s="13"/>
      <c r="I33" s="10"/>
      <c r="J33" s="2"/>
      <c r="K33" s="2"/>
      <c r="O33" s="2"/>
      <c r="P33" s="2"/>
      <c r="Q33" s="2"/>
    </row>
    <row r="34" spans="1:17" ht="15.75" customHeight="1" x14ac:dyDescent="0.3">
      <c r="A34" s="331" t="s">
        <v>56</v>
      </c>
      <c r="B34" s="330"/>
      <c r="C34" s="331"/>
      <c r="D34" s="332"/>
      <c r="E34" s="332"/>
      <c r="F34" s="332"/>
      <c r="G34" s="332"/>
      <c r="H34" s="330"/>
      <c r="I34" s="10"/>
      <c r="J34" s="2"/>
      <c r="K34" s="2"/>
    </row>
    <row r="35" spans="1:17" ht="15.75" customHeight="1" x14ac:dyDescent="0.3">
      <c r="A35" s="331" t="s">
        <v>57</v>
      </c>
      <c r="B35" s="330"/>
      <c r="C35" s="331"/>
      <c r="D35" s="332"/>
      <c r="E35" s="332"/>
      <c r="F35" s="332"/>
      <c r="G35" s="332"/>
      <c r="H35" s="330"/>
      <c r="I35" s="10"/>
      <c r="J35" s="2"/>
      <c r="K35" s="2"/>
    </row>
    <row r="36" spans="1:17" ht="15.75" customHeight="1" x14ac:dyDescent="0.3">
      <c r="A36" s="334" t="s">
        <v>58</v>
      </c>
      <c r="B36" s="335"/>
      <c r="C36" s="335"/>
      <c r="D36" s="335"/>
      <c r="E36" s="336"/>
      <c r="F36" s="331"/>
      <c r="G36" s="332"/>
      <c r="H36" s="330"/>
      <c r="I36" s="10"/>
      <c r="J36" s="2"/>
      <c r="K36" s="2"/>
    </row>
    <row r="37" spans="1:17" ht="15.75" customHeight="1" x14ac:dyDescent="0.3">
      <c r="A37" s="337"/>
      <c r="B37" s="338"/>
      <c r="C37" s="338"/>
      <c r="D37" s="338"/>
      <c r="E37" s="339"/>
      <c r="F37" s="331" t="s">
        <v>59</v>
      </c>
      <c r="G37" s="332"/>
      <c r="H37" s="330"/>
      <c r="I37" s="10"/>
      <c r="J37" s="2"/>
      <c r="K37" s="2"/>
    </row>
    <row r="38" spans="1:17" ht="15.75" customHeight="1" x14ac:dyDescent="0.3">
      <c r="A38" s="31"/>
      <c r="B38" s="32"/>
      <c r="C38" s="33"/>
      <c r="D38" s="32"/>
      <c r="E38" s="32"/>
      <c r="F38" s="32"/>
      <c r="G38" s="32"/>
      <c r="H38" s="32"/>
      <c r="I38" s="34"/>
      <c r="J38" s="2"/>
      <c r="K38" s="2"/>
    </row>
    <row r="39" spans="1:17" ht="15.75" customHeight="1" x14ac:dyDescent="0.3">
      <c r="A39" s="31"/>
      <c r="B39" s="32"/>
      <c r="C39" s="32"/>
      <c r="D39" s="32"/>
      <c r="E39" s="32"/>
      <c r="F39" s="326"/>
      <c r="G39" s="32"/>
      <c r="H39" s="32"/>
      <c r="I39" s="34"/>
      <c r="J39" s="2"/>
      <c r="K39" s="2"/>
    </row>
    <row r="40" spans="1:17" ht="15.75" customHeight="1" x14ac:dyDescent="0.3">
      <c r="A40" s="31"/>
      <c r="B40" s="32"/>
      <c r="C40" s="32"/>
      <c r="D40" s="32"/>
      <c r="E40" s="32"/>
      <c r="F40" s="327"/>
      <c r="G40" s="32"/>
      <c r="H40" s="32"/>
      <c r="I40" s="34"/>
      <c r="J40" s="2"/>
      <c r="K40" s="2"/>
    </row>
    <row r="41" spans="1:17" ht="15.75" customHeight="1" x14ac:dyDescent="0.3">
      <c r="A41" s="31"/>
      <c r="B41" s="32"/>
      <c r="C41" s="32"/>
      <c r="D41" s="32"/>
      <c r="E41" s="32"/>
      <c r="F41" s="327"/>
      <c r="G41" s="32"/>
      <c r="H41" s="32"/>
      <c r="I41" s="34"/>
      <c r="J41" s="2"/>
      <c r="K41" s="2"/>
    </row>
    <row r="42" spans="1:17" ht="15.75" customHeight="1" x14ac:dyDescent="0.4">
      <c r="A42" s="31"/>
      <c r="B42" s="32"/>
      <c r="C42" s="32"/>
      <c r="D42" s="32"/>
      <c r="E42" s="35"/>
      <c r="F42" s="327"/>
      <c r="G42" s="32"/>
      <c r="H42" s="32"/>
      <c r="I42" s="34"/>
      <c r="J42" s="2"/>
      <c r="K42" s="2"/>
    </row>
    <row r="43" spans="1:17" ht="15.75" customHeight="1" x14ac:dyDescent="0.3">
      <c r="A43" s="36"/>
      <c r="B43" s="32"/>
      <c r="C43" s="32"/>
      <c r="D43" s="32"/>
      <c r="E43" s="32"/>
      <c r="F43" s="327"/>
      <c r="G43" s="32"/>
      <c r="H43" s="32"/>
      <c r="I43" s="34"/>
      <c r="J43" s="2"/>
      <c r="K43" s="2"/>
    </row>
    <row r="44" spans="1:17" ht="15.75" customHeight="1" x14ac:dyDescent="0.3">
      <c r="A44" s="31"/>
      <c r="B44" s="32"/>
      <c r="C44" s="32"/>
      <c r="D44" s="32"/>
      <c r="E44" s="32"/>
      <c r="F44" s="327"/>
      <c r="G44" s="32"/>
      <c r="H44" s="32"/>
      <c r="I44" s="34"/>
      <c r="J44" s="2"/>
      <c r="K44" s="2"/>
    </row>
    <row r="45" spans="1:17" ht="15.75" customHeight="1" x14ac:dyDescent="0.3">
      <c r="A45" s="31"/>
      <c r="B45" s="32"/>
      <c r="C45" s="32"/>
      <c r="D45" s="32"/>
      <c r="E45" s="32"/>
      <c r="F45" s="327"/>
      <c r="G45" s="32"/>
      <c r="H45" s="32"/>
      <c r="I45" s="34"/>
      <c r="J45" s="2"/>
      <c r="K45" s="2"/>
    </row>
    <row r="46" spans="1:17" ht="15.75" customHeight="1" x14ac:dyDescent="0.3">
      <c r="A46" s="31"/>
      <c r="B46" s="32"/>
      <c r="C46" s="32"/>
      <c r="D46" s="32"/>
      <c r="E46" s="32"/>
      <c r="F46" s="327"/>
      <c r="G46" s="32"/>
      <c r="H46" s="32"/>
      <c r="I46" s="34"/>
      <c r="J46" s="2"/>
      <c r="K46" s="2"/>
    </row>
    <row r="47" spans="1:17" ht="15.75" customHeight="1" x14ac:dyDescent="0.3">
      <c r="A47" s="31"/>
      <c r="B47" s="32"/>
      <c r="C47" s="32"/>
      <c r="D47" s="32"/>
      <c r="E47" s="32"/>
      <c r="F47" s="327"/>
      <c r="G47" s="32"/>
      <c r="H47" s="32"/>
      <c r="I47" s="34"/>
      <c r="J47" s="2"/>
      <c r="K47" s="2"/>
    </row>
    <row r="48" spans="1:17" ht="15.75" customHeight="1" x14ac:dyDescent="0.3">
      <c r="A48" s="31"/>
      <c r="B48" s="32"/>
      <c r="C48" s="32"/>
      <c r="D48" s="32"/>
      <c r="E48" s="32"/>
      <c r="F48" s="327"/>
      <c r="G48" s="32"/>
      <c r="H48" s="32"/>
      <c r="I48" s="34"/>
      <c r="J48" s="2"/>
      <c r="K48" s="2"/>
    </row>
    <row r="49" spans="1:11" ht="15.75" customHeight="1" x14ac:dyDescent="0.4">
      <c r="A49" s="31"/>
      <c r="B49" s="328"/>
      <c r="C49" s="327"/>
      <c r="D49" s="327"/>
      <c r="E49" s="32"/>
      <c r="F49" s="2"/>
      <c r="G49" s="32"/>
      <c r="H49" s="32"/>
      <c r="I49" s="34"/>
      <c r="J49" s="2"/>
      <c r="K49" s="2"/>
    </row>
    <row r="50" spans="1:11" ht="15.75" customHeight="1" x14ac:dyDescent="0.3">
      <c r="A50" s="31"/>
      <c r="B50" s="32"/>
      <c r="C50" s="33"/>
      <c r="D50" s="32"/>
      <c r="E50" s="32"/>
      <c r="F50" s="32"/>
      <c r="G50" s="32"/>
      <c r="H50" s="32"/>
      <c r="I50" s="34"/>
      <c r="J50" s="2"/>
      <c r="K50" s="2"/>
    </row>
    <row r="51" spans="1:11" ht="15.75" customHeight="1" x14ac:dyDescent="0.3"/>
    <row r="52" spans="1:11" ht="15.75" customHeight="1" x14ac:dyDescent="0.3"/>
    <row r="53" spans="1:11" ht="15.75" customHeight="1" x14ac:dyDescent="0.3"/>
    <row r="54" spans="1:11" ht="15.75" customHeight="1" x14ac:dyDescent="0.3"/>
    <row r="55" spans="1:11" ht="15.75" customHeight="1" x14ac:dyDescent="0.3"/>
    <row r="56" spans="1:11" ht="15.75" customHeight="1" x14ac:dyDescent="0.3"/>
    <row r="57" spans="1:11" ht="15.75" customHeight="1" x14ac:dyDescent="0.3"/>
    <row r="58" spans="1:11" ht="15.75" customHeight="1" x14ac:dyDescent="0.3"/>
    <row r="59" spans="1:11" ht="15.75" customHeight="1" x14ac:dyDescent="0.3"/>
    <row r="60" spans="1:11" ht="15.75" customHeight="1" x14ac:dyDescent="0.3"/>
    <row r="61" spans="1:11" ht="15.75" customHeight="1" x14ac:dyDescent="0.3"/>
    <row r="62" spans="1:11" ht="15.75" customHeight="1" x14ac:dyDescent="0.3"/>
    <row r="63" spans="1:11" ht="15.75" customHeight="1" x14ac:dyDescent="0.3"/>
    <row r="64" spans="1:11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</sheetData>
  <mergeCells count="55">
    <mergeCell ref="I26:I28"/>
    <mergeCell ref="E22:F23"/>
    <mergeCell ref="E21:F21"/>
    <mergeCell ref="E24:F24"/>
    <mergeCell ref="D26:F26"/>
    <mergeCell ref="D25:F25"/>
    <mergeCell ref="D22:D23"/>
    <mergeCell ref="A2:H2"/>
    <mergeCell ref="A1:H1"/>
    <mergeCell ref="A8:B9"/>
    <mergeCell ref="A7:B7"/>
    <mergeCell ref="A13:A20"/>
    <mergeCell ref="D19:F19"/>
    <mergeCell ref="D20:F20"/>
    <mergeCell ref="D17:F17"/>
    <mergeCell ref="D8:F9"/>
    <mergeCell ref="D11:F11"/>
    <mergeCell ref="D10:F10"/>
    <mergeCell ref="D14:F14"/>
    <mergeCell ref="D15:F15"/>
    <mergeCell ref="D16:F16"/>
    <mergeCell ref="A3:C3"/>
    <mergeCell ref="A6:B6"/>
    <mergeCell ref="B49:D49"/>
    <mergeCell ref="F39:F48"/>
    <mergeCell ref="A35:B35"/>
    <mergeCell ref="D30:F30"/>
    <mergeCell ref="D33:F33"/>
    <mergeCell ref="D32:F32"/>
    <mergeCell ref="A36:E37"/>
    <mergeCell ref="F37:H37"/>
    <mergeCell ref="F36:H36"/>
    <mergeCell ref="C35:H35"/>
    <mergeCell ref="C34:H34"/>
    <mergeCell ref="A34:B34"/>
    <mergeCell ref="A4:C4"/>
    <mergeCell ref="A5:C5"/>
    <mergeCell ref="C6:H6"/>
    <mergeCell ref="C7:H7"/>
    <mergeCell ref="B21:B24"/>
    <mergeCell ref="C21:C24"/>
    <mergeCell ref="A21:A24"/>
    <mergeCell ref="G22:G23"/>
    <mergeCell ref="H22:H23"/>
    <mergeCell ref="D18:F18"/>
    <mergeCell ref="E3:H3"/>
    <mergeCell ref="E5:H5"/>
    <mergeCell ref="E4:H4"/>
    <mergeCell ref="D13:F13"/>
    <mergeCell ref="D12:F12"/>
    <mergeCell ref="I8:K8"/>
    <mergeCell ref="G8:G9"/>
    <mergeCell ref="H8:H9"/>
    <mergeCell ref="C8:C9"/>
    <mergeCell ref="A10:A12"/>
  </mergeCell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7"/>
  <sheetViews>
    <sheetView workbookViewId="0"/>
  </sheetViews>
  <sheetFormatPr baseColWidth="10" defaultColWidth="14.44140625" defaultRowHeight="15" customHeight="1" x14ac:dyDescent="0.3"/>
  <cols>
    <col min="1" max="1" width="15.109375" customWidth="1"/>
    <col min="2" max="2" width="23.33203125" customWidth="1"/>
    <col min="3" max="3" width="11.109375" customWidth="1"/>
    <col min="4" max="4" width="11.6640625" customWidth="1"/>
    <col min="5" max="5" width="8.33203125" customWidth="1"/>
    <col min="6" max="6" width="2.6640625" customWidth="1"/>
    <col min="7" max="7" width="7" customWidth="1"/>
    <col min="8" max="8" width="8.109375" customWidth="1"/>
    <col min="9" max="9" width="15.88671875" customWidth="1"/>
    <col min="10" max="10" width="18.33203125" customWidth="1"/>
    <col min="11" max="11" width="17.44140625" customWidth="1"/>
    <col min="12" max="12" width="13.88671875" customWidth="1"/>
    <col min="13" max="17" width="8.5546875" customWidth="1"/>
  </cols>
  <sheetData>
    <row r="1" spans="1:12" ht="22.8" x14ac:dyDescent="0.4">
      <c r="A1" s="344"/>
      <c r="B1" s="332"/>
      <c r="C1" s="332"/>
      <c r="D1" s="332"/>
      <c r="E1" s="332"/>
      <c r="F1" s="332"/>
      <c r="G1" s="332"/>
      <c r="H1" s="330"/>
      <c r="I1" s="1"/>
      <c r="J1" s="2"/>
      <c r="K1" s="2"/>
    </row>
    <row r="2" spans="1:12" ht="21" x14ac:dyDescent="0.4">
      <c r="A2" s="343" t="s">
        <v>348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2" ht="21" x14ac:dyDescent="0.4">
      <c r="A3" s="345" t="s">
        <v>3</v>
      </c>
      <c r="B3" s="332"/>
      <c r="C3" s="330"/>
      <c r="D3" s="6">
        <v>220</v>
      </c>
      <c r="E3" s="345" t="s">
        <v>4</v>
      </c>
      <c r="F3" s="332"/>
      <c r="G3" s="332"/>
      <c r="H3" s="330"/>
      <c r="I3" s="1"/>
      <c r="J3" s="2"/>
      <c r="K3" s="2"/>
    </row>
    <row r="4" spans="1:12" ht="21" x14ac:dyDescent="0.4">
      <c r="A4" s="347" t="s">
        <v>6</v>
      </c>
      <c r="B4" s="332"/>
      <c r="C4" s="330"/>
      <c r="D4" s="6">
        <v>200</v>
      </c>
      <c r="E4" s="345" t="s">
        <v>4</v>
      </c>
      <c r="F4" s="332"/>
      <c r="G4" s="332"/>
      <c r="H4" s="330"/>
      <c r="I4" s="7"/>
      <c r="J4" s="2"/>
      <c r="K4" s="2"/>
    </row>
    <row r="5" spans="1:12" ht="21" x14ac:dyDescent="0.4">
      <c r="A5" s="347" t="s">
        <v>7</v>
      </c>
      <c r="B5" s="332"/>
      <c r="C5" s="330"/>
      <c r="D5" s="8">
        <v>1</v>
      </c>
      <c r="E5" s="345"/>
      <c r="F5" s="332"/>
      <c r="G5" s="332"/>
      <c r="H5" s="330"/>
      <c r="I5" s="9"/>
      <c r="J5" s="2"/>
      <c r="K5" s="2"/>
    </row>
    <row r="6" spans="1:12" ht="17.399999999999999" x14ac:dyDescent="0.3">
      <c r="A6" s="347" t="s">
        <v>8</v>
      </c>
      <c r="B6" s="330"/>
      <c r="C6" s="331"/>
      <c r="D6" s="332"/>
      <c r="E6" s="332"/>
      <c r="F6" s="332"/>
      <c r="G6" s="332"/>
      <c r="H6" s="330"/>
      <c r="I6" s="10"/>
      <c r="J6" s="2"/>
      <c r="K6" s="2"/>
    </row>
    <row r="7" spans="1:12" ht="17.25" customHeight="1" x14ac:dyDescent="0.3">
      <c r="A7" s="347" t="s">
        <v>9</v>
      </c>
      <c r="B7" s="330"/>
      <c r="C7" s="331"/>
      <c r="D7" s="332"/>
      <c r="E7" s="332"/>
      <c r="F7" s="332"/>
      <c r="G7" s="332"/>
      <c r="H7" s="330"/>
      <c r="I7" s="10"/>
      <c r="J7" s="2"/>
      <c r="K7" s="2"/>
    </row>
    <row r="8" spans="1:12" ht="18.75" customHeight="1" x14ac:dyDescent="0.4">
      <c r="A8" s="350" t="s">
        <v>10</v>
      </c>
      <c r="B8" s="336"/>
      <c r="C8" s="349" t="s">
        <v>11</v>
      </c>
      <c r="D8" s="348" t="s">
        <v>12</v>
      </c>
      <c r="E8" s="335"/>
      <c r="F8" s="336"/>
      <c r="G8" s="351" t="s">
        <v>13</v>
      </c>
      <c r="H8" s="351" t="s">
        <v>14</v>
      </c>
      <c r="I8" s="358"/>
      <c r="J8" s="332"/>
      <c r="K8" s="330"/>
    </row>
    <row r="9" spans="1:12" ht="19.5" customHeight="1" x14ac:dyDescent="0.4">
      <c r="A9" s="337"/>
      <c r="B9" s="339"/>
      <c r="C9" s="342"/>
      <c r="D9" s="337"/>
      <c r="E9" s="338"/>
      <c r="F9" s="339"/>
      <c r="G9" s="342"/>
      <c r="H9" s="342"/>
      <c r="I9" s="12"/>
      <c r="J9" s="12"/>
      <c r="K9" s="12"/>
    </row>
    <row r="10" spans="1:12" ht="14.4" x14ac:dyDescent="0.3">
      <c r="A10" s="353" t="s">
        <v>19</v>
      </c>
      <c r="B10" s="13" t="s">
        <v>20</v>
      </c>
      <c r="C10" s="13">
        <v>3207</v>
      </c>
      <c r="D10" s="346">
        <f>D4</f>
        <v>200</v>
      </c>
      <c r="E10" s="332"/>
      <c r="F10" s="330"/>
      <c r="G10" s="13">
        <f>D5*1</f>
        <v>1</v>
      </c>
      <c r="H10" s="13">
        <v>90</v>
      </c>
      <c r="I10" s="13"/>
      <c r="J10" s="13"/>
      <c r="K10" s="14"/>
      <c r="L10" s="2"/>
    </row>
    <row r="11" spans="1:12" ht="14.4" x14ac:dyDescent="0.3">
      <c r="A11" s="354"/>
      <c r="B11" s="13" t="s">
        <v>23</v>
      </c>
      <c r="C11" s="13">
        <v>3208</v>
      </c>
      <c r="D11" s="346">
        <f>D4</f>
        <v>200</v>
      </c>
      <c r="E11" s="332"/>
      <c r="F11" s="330"/>
      <c r="G11" s="13">
        <f>D5*1</f>
        <v>1</v>
      </c>
      <c r="H11" s="13">
        <v>90</v>
      </c>
      <c r="I11" s="13"/>
      <c r="J11" s="13"/>
      <c r="K11" s="14"/>
    </row>
    <row r="12" spans="1:12" ht="14.4" x14ac:dyDescent="0.3">
      <c r="A12" s="342"/>
      <c r="B12" s="13" t="s">
        <v>26</v>
      </c>
      <c r="C12" s="13">
        <v>3211</v>
      </c>
      <c r="D12" s="346">
        <f>D3-1.1</f>
        <v>218.9</v>
      </c>
      <c r="E12" s="332"/>
      <c r="F12" s="330"/>
      <c r="G12" s="13">
        <f>D5*2</f>
        <v>2</v>
      </c>
      <c r="H12" s="13">
        <v>90</v>
      </c>
      <c r="I12" s="13" t="s">
        <v>337</v>
      </c>
      <c r="J12" s="13"/>
      <c r="K12" s="14"/>
    </row>
    <row r="13" spans="1:12" ht="14.4" x14ac:dyDescent="0.3">
      <c r="A13" s="353" t="s">
        <v>29</v>
      </c>
      <c r="B13" s="13" t="s">
        <v>283</v>
      </c>
      <c r="C13" s="13">
        <v>3216</v>
      </c>
      <c r="D13" s="346">
        <f>D3-2.4</f>
        <v>217.6</v>
      </c>
      <c r="E13" s="332"/>
      <c r="F13" s="330"/>
      <c r="G13" s="13">
        <f>D5*2</f>
        <v>2</v>
      </c>
      <c r="H13" s="13">
        <v>90</v>
      </c>
      <c r="I13" s="13"/>
      <c r="J13" s="13"/>
      <c r="K13" s="14"/>
    </row>
    <row r="14" spans="1:12" ht="14.4" x14ac:dyDescent="0.3">
      <c r="A14" s="354"/>
      <c r="B14" s="13" t="s">
        <v>278</v>
      </c>
      <c r="C14" s="13">
        <v>3216</v>
      </c>
      <c r="D14" s="346">
        <f>D3-3.3</f>
        <v>216.7</v>
      </c>
      <c r="E14" s="332"/>
      <c r="F14" s="330"/>
      <c r="G14" s="13">
        <f>D5*2</f>
        <v>2</v>
      </c>
      <c r="H14" s="13">
        <v>90</v>
      </c>
      <c r="I14" s="13"/>
      <c r="J14" s="13"/>
      <c r="K14" s="14"/>
    </row>
    <row r="15" spans="1:12" ht="14.4" x14ac:dyDescent="0.3">
      <c r="A15" s="354"/>
      <c r="B15" s="13" t="s">
        <v>284</v>
      </c>
      <c r="C15" s="13">
        <v>3215</v>
      </c>
      <c r="D15" s="346">
        <f>D3-2.4</f>
        <v>217.6</v>
      </c>
      <c r="E15" s="332"/>
      <c r="F15" s="330"/>
      <c r="G15" s="13">
        <f>D5*2</f>
        <v>2</v>
      </c>
      <c r="H15" s="13">
        <v>90</v>
      </c>
      <c r="I15" s="13"/>
      <c r="J15" s="13"/>
      <c r="K15" s="14"/>
    </row>
    <row r="16" spans="1:12" ht="14.4" x14ac:dyDescent="0.3">
      <c r="A16" s="354"/>
      <c r="B16" s="13" t="s">
        <v>279</v>
      </c>
      <c r="C16" s="13">
        <v>3215</v>
      </c>
      <c r="D16" s="346">
        <f>D3-3.3</f>
        <v>216.7</v>
      </c>
      <c r="E16" s="332"/>
      <c r="F16" s="330"/>
      <c r="G16" s="13">
        <f>D5*2</f>
        <v>2</v>
      </c>
      <c r="H16" s="13">
        <v>90</v>
      </c>
      <c r="I16" s="13"/>
      <c r="J16" s="13"/>
      <c r="K16" s="14"/>
    </row>
    <row r="17" spans="1:14" ht="14.4" x14ac:dyDescent="0.3">
      <c r="A17" s="354"/>
      <c r="B17" s="13" t="s">
        <v>349</v>
      </c>
      <c r="C17" s="15">
        <v>3212</v>
      </c>
      <c r="D17" s="346">
        <f>(D4/4)+0.3</f>
        <v>50.3</v>
      </c>
      <c r="E17" s="332"/>
      <c r="F17" s="330"/>
      <c r="G17" s="13">
        <f>D5*4</f>
        <v>4</v>
      </c>
      <c r="H17" s="13">
        <v>90</v>
      </c>
      <c r="I17" s="15"/>
      <c r="J17" s="13"/>
      <c r="K17" s="14"/>
    </row>
    <row r="18" spans="1:14" ht="14.4" x14ac:dyDescent="0.3">
      <c r="A18" s="354"/>
      <c r="B18" s="13"/>
      <c r="C18" s="15"/>
      <c r="D18" s="346"/>
      <c r="E18" s="332"/>
      <c r="F18" s="330"/>
      <c r="G18" s="13"/>
      <c r="H18" s="13"/>
      <c r="I18" s="214"/>
      <c r="J18" s="76"/>
      <c r="K18" s="215"/>
    </row>
    <row r="19" spans="1:14" ht="14.4" x14ac:dyDescent="0.3">
      <c r="A19" s="354"/>
      <c r="B19" s="13" t="s">
        <v>339</v>
      </c>
      <c r="C19" s="15">
        <v>3214</v>
      </c>
      <c r="D19" s="346">
        <f>(D4/4)+0.3</f>
        <v>50.3</v>
      </c>
      <c r="E19" s="332"/>
      <c r="F19" s="330"/>
      <c r="G19" s="13">
        <f>D5*2</f>
        <v>2</v>
      </c>
      <c r="H19" s="13">
        <v>90</v>
      </c>
      <c r="I19" s="214"/>
      <c r="J19" s="76"/>
      <c r="K19" s="215"/>
    </row>
    <row r="20" spans="1:14" ht="14.4" x14ac:dyDescent="0.3">
      <c r="A20" s="342"/>
      <c r="B20" s="13" t="s">
        <v>340</v>
      </c>
      <c r="C20" s="15">
        <v>3213</v>
      </c>
      <c r="D20" s="346">
        <f>(D4/4)+0.3</f>
        <v>50.3</v>
      </c>
      <c r="E20" s="332"/>
      <c r="F20" s="330"/>
      <c r="G20" s="13">
        <f>D5*2</f>
        <v>2</v>
      </c>
      <c r="H20" s="13">
        <v>90</v>
      </c>
      <c r="I20" s="214"/>
      <c r="J20" s="76"/>
      <c r="K20" s="215"/>
    </row>
    <row r="21" spans="1:14" ht="16.5" customHeight="1" x14ac:dyDescent="0.3">
      <c r="A21" s="355" t="s">
        <v>39</v>
      </c>
      <c r="B21" s="359" t="s">
        <v>341</v>
      </c>
      <c r="C21" s="341"/>
      <c r="D21" s="16" t="s">
        <v>3</v>
      </c>
      <c r="E21" s="329" t="s">
        <v>41</v>
      </c>
      <c r="F21" s="330"/>
      <c r="G21" s="17"/>
      <c r="H21" s="18"/>
      <c r="I21" s="2"/>
      <c r="J21" s="2"/>
      <c r="K21" s="2"/>
    </row>
    <row r="22" spans="1:14" ht="15.75" customHeight="1" x14ac:dyDescent="0.3">
      <c r="A22" s="354"/>
      <c r="B22" s="354"/>
      <c r="C22" s="354"/>
      <c r="D22" s="528">
        <f>D3-9.3</f>
        <v>210.7</v>
      </c>
      <c r="E22" s="529">
        <f>(D4/4)-5.9</f>
        <v>44.1</v>
      </c>
      <c r="F22" s="336"/>
      <c r="G22" s="485">
        <f>D5*4</f>
        <v>4</v>
      </c>
      <c r="H22" s="485"/>
      <c r="I22" s="10"/>
      <c r="M22" s="2"/>
      <c r="N22" s="2"/>
    </row>
    <row r="23" spans="1:14" ht="15.75" customHeight="1" x14ac:dyDescent="0.3">
      <c r="A23" s="354"/>
      <c r="B23" s="354"/>
      <c r="C23" s="354"/>
      <c r="D23" s="342"/>
      <c r="E23" s="337"/>
      <c r="F23" s="339"/>
      <c r="G23" s="342"/>
      <c r="H23" s="342"/>
      <c r="I23" s="10"/>
      <c r="M23" s="2"/>
      <c r="N23" s="2"/>
    </row>
    <row r="24" spans="1:14" ht="15.75" customHeight="1" x14ac:dyDescent="0.3">
      <c r="A24" s="342"/>
      <c r="B24" s="342"/>
      <c r="C24" s="342"/>
      <c r="D24" s="19"/>
      <c r="E24" s="357"/>
      <c r="F24" s="330"/>
      <c r="G24" s="18"/>
      <c r="H24" s="18"/>
      <c r="I24" s="10"/>
      <c r="M24" s="2"/>
      <c r="N24" s="2"/>
    </row>
    <row r="25" spans="1:14" ht="15.75" customHeight="1" x14ac:dyDescent="0.3">
      <c r="A25" s="20" t="s">
        <v>42</v>
      </c>
      <c r="B25" s="13"/>
      <c r="C25" s="21"/>
      <c r="D25" s="356"/>
      <c r="E25" s="332"/>
      <c r="F25" s="330"/>
      <c r="G25" s="13">
        <f>(D22*4)+(E22*4)*D5</f>
        <v>1019.1999999999999</v>
      </c>
      <c r="H25" s="13" t="s">
        <v>43</v>
      </c>
      <c r="I25" s="10"/>
      <c r="M25" s="2"/>
      <c r="N25" s="2"/>
    </row>
    <row r="26" spans="1:14" ht="15.75" customHeight="1" x14ac:dyDescent="0.3">
      <c r="A26" s="20" t="s">
        <v>44</v>
      </c>
      <c r="B26" s="13" t="s">
        <v>45</v>
      </c>
      <c r="C26" s="13"/>
      <c r="D26" s="333"/>
      <c r="E26" s="332"/>
      <c r="F26" s="330"/>
      <c r="G26" s="13">
        <f>D5*8</f>
        <v>8</v>
      </c>
      <c r="H26" s="13"/>
      <c r="I26" s="352"/>
      <c r="J26" s="2"/>
      <c r="K26" s="2"/>
      <c r="L26" s="2"/>
      <c r="M26" s="2"/>
      <c r="N26" s="2"/>
    </row>
    <row r="27" spans="1:14" ht="15.75" customHeight="1" x14ac:dyDescent="0.3">
      <c r="A27" s="20"/>
      <c r="B27" s="13" t="s">
        <v>46</v>
      </c>
      <c r="C27" s="13"/>
      <c r="D27" s="23"/>
      <c r="E27" s="23"/>
      <c r="F27" s="24"/>
      <c r="G27" s="24">
        <f>D5*8</f>
        <v>8</v>
      </c>
      <c r="H27" s="13"/>
      <c r="I27" s="327"/>
      <c r="J27" s="2"/>
      <c r="K27" s="2"/>
      <c r="L27" s="2"/>
      <c r="M27" s="2"/>
      <c r="N27" s="2"/>
    </row>
    <row r="28" spans="1:14" ht="15.75" customHeight="1" x14ac:dyDescent="0.3">
      <c r="A28" s="20"/>
      <c r="B28" s="13" t="s">
        <v>47</v>
      </c>
      <c r="C28" s="13"/>
      <c r="D28" s="22"/>
      <c r="E28" s="25"/>
      <c r="F28" s="24"/>
      <c r="G28" s="24">
        <f>D5*4</f>
        <v>4</v>
      </c>
      <c r="H28" s="13"/>
      <c r="I28" s="327"/>
      <c r="J28" s="2"/>
      <c r="K28" s="2"/>
      <c r="L28" s="2"/>
      <c r="M28" s="2"/>
      <c r="N28" s="2"/>
    </row>
    <row r="29" spans="1:14" ht="15.75" customHeight="1" x14ac:dyDescent="0.3">
      <c r="A29" s="20" t="s">
        <v>48</v>
      </c>
      <c r="B29" s="26" t="s">
        <v>49</v>
      </c>
      <c r="C29" s="13"/>
      <c r="D29" s="27"/>
      <c r="E29" s="23"/>
      <c r="F29" s="28"/>
      <c r="G29" s="24" t="s">
        <v>345</v>
      </c>
      <c r="H29" s="13"/>
      <c r="I29" s="10"/>
      <c r="J29" s="2"/>
      <c r="K29" s="29"/>
      <c r="L29" s="2"/>
      <c r="M29" s="2"/>
      <c r="N29" s="2"/>
    </row>
    <row r="30" spans="1:14" ht="15.75" customHeight="1" x14ac:dyDescent="0.3">
      <c r="A30" s="20" t="s">
        <v>50</v>
      </c>
      <c r="B30" s="13" t="s">
        <v>51</v>
      </c>
      <c r="C30" s="13" t="s">
        <v>342</v>
      </c>
      <c r="D30" s="340"/>
      <c r="E30" s="332"/>
      <c r="F30" s="330"/>
      <c r="G30" s="24">
        <f>D5*4</f>
        <v>4</v>
      </c>
      <c r="H30" s="13"/>
      <c r="I30" s="10"/>
      <c r="J30" s="2"/>
      <c r="K30" s="2"/>
      <c r="L30" s="2"/>
      <c r="M30" s="2"/>
      <c r="N30" s="2"/>
    </row>
    <row r="31" spans="1:14" ht="15.75" customHeight="1" x14ac:dyDescent="0.3">
      <c r="A31" s="20" t="s">
        <v>52</v>
      </c>
      <c r="B31" s="30">
        <v>0.25</v>
      </c>
      <c r="C31" s="13"/>
      <c r="D31" s="22"/>
      <c r="E31" s="25"/>
      <c r="F31" s="24"/>
      <c r="G31" s="24">
        <f>D5*4</f>
        <v>4</v>
      </c>
      <c r="H31" s="13"/>
      <c r="I31" s="10"/>
      <c r="J31" s="2"/>
      <c r="K31" s="2"/>
      <c r="L31" s="2"/>
      <c r="M31" s="2"/>
      <c r="N31" s="2"/>
    </row>
    <row r="32" spans="1:14" ht="15.75" customHeight="1" x14ac:dyDescent="0.3">
      <c r="A32" s="20"/>
      <c r="B32" s="13"/>
      <c r="C32" s="13"/>
      <c r="D32" s="333"/>
      <c r="E32" s="332"/>
      <c r="F32" s="330"/>
      <c r="G32" s="24">
        <f>D5*4</f>
        <v>4</v>
      </c>
      <c r="H32" s="13"/>
      <c r="I32" s="10"/>
      <c r="J32" s="2"/>
      <c r="K32" s="2"/>
      <c r="L32" s="2"/>
      <c r="M32" s="2"/>
      <c r="N32" s="2"/>
    </row>
    <row r="33" spans="1:17" ht="15.75" customHeight="1" x14ac:dyDescent="0.3">
      <c r="A33" s="20" t="s">
        <v>54</v>
      </c>
      <c r="B33" s="13" t="s">
        <v>343</v>
      </c>
      <c r="C33" s="13"/>
      <c r="D33" s="333"/>
      <c r="E33" s="332"/>
      <c r="F33" s="330"/>
      <c r="G33" s="24">
        <f>D5*2</f>
        <v>2</v>
      </c>
      <c r="H33" s="13"/>
      <c r="I33" s="10"/>
      <c r="J33" s="2"/>
      <c r="K33" s="2"/>
      <c r="O33" s="2"/>
      <c r="P33" s="2"/>
      <c r="Q33" s="2"/>
    </row>
    <row r="34" spans="1:17" ht="15.75" customHeight="1" x14ac:dyDescent="0.3">
      <c r="A34" s="331" t="s">
        <v>56</v>
      </c>
      <c r="B34" s="330"/>
      <c r="C34" s="331"/>
      <c r="D34" s="332"/>
      <c r="E34" s="332"/>
      <c r="F34" s="332"/>
      <c r="G34" s="332"/>
      <c r="H34" s="330"/>
      <c r="I34" s="10"/>
      <c r="J34" s="2"/>
      <c r="K34" s="2"/>
    </row>
    <row r="35" spans="1:17" ht="15.75" customHeight="1" x14ac:dyDescent="0.3">
      <c r="A35" s="331" t="s">
        <v>57</v>
      </c>
      <c r="B35" s="330"/>
      <c r="C35" s="331"/>
      <c r="D35" s="332"/>
      <c r="E35" s="332"/>
      <c r="F35" s="332"/>
      <c r="G35" s="332"/>
      <c r="H35" s="330"/>
      <c r="I35" s="10"/>
      <c r="J35" s="2"/>
      <c r="K35" s="2"/>
    </row>
    <row r="36" spans="1:17" ht="15.75" customHeight="1" x14ac:dyDescent="0.3">
      <c r="A36" s="334" t="s">
        <v>58</v>
      </c>
      <c r="B36" s="335"/>
      <c r="C36" s="335"/>
      <c r="D36" s="335"/>
      <c r="E36" s="336"/>
      <c r="F36" s="331"/>
      <c r="G36" s="332"/>
      <c r="H36" s="330"/>
      <c r="I36" s="10"/>
      <c r="J36" s="2"/>
      <c r="K36" s="2"/>
    </row>
    <row r="37" spans="1:17" ht="15.75" customHeight="1" x14ac:dyDescent="0.3">
      <c r="A37" s="337"/>
      <c r="B37" s="338"/>
      <c r="C37" s="338"/>
      <c r="D37" s="338"/>
      <c r="E37" s="339"/>
      <c r="F37" s="331" t="s">
        <v>59</v>
      </c>
      <c r="G37" s="332"/>
      <c r="H37" s="330"/>
      <c r="I37" s="10"/>
      <c r="J37" s="2"/>
      <c r="K37" s="2"/>
    </row>
    <row r="38" spans="1:17" ht="15.75" customHeight="1" x14ac:dyDescent="0.3">
      <c r="A38" s="31"/>
      <c r="B38" s="32"/>
      <c r="C38" s="33"/>
      <c r="D38" s="32"/>
      <c r="E38" s="32"/>
      <c r="F38" s="32"/>
      <c r="G38" s="32"/>
      <c r="H38" s="32"/>
      <c r="I38" s="34"/>
      <c r="J38" s="2"/>
      <c r="K38" s="2"/>
    </row>
    <row r="39" spans="1:17" ht="15.75" customHeight="1" x14ac:dyDescent="0.3">
      <c r="A39" s="31"/>
      <c r="B39" s="32"/>
      <c r="C39" s="32"/>
      <c r="D39" s="32"/>
      <c r="E39" s="32"/>
      <c r="F39" s="326"/>
      <c r="G39" s="32"/>
      <c r="H39" s="32"/>
      <c r="I39" s="34"/>
      <c r="J39" s="2"/>
      <c r="K39" s="2"/>
    </row>
    <row r="40" spans="1:17" ht="15.75" customHeight="1" x14ac:dyDescent="0.3">
      <c r="A40" s="31"/>
      <c r="B40" s="32"/>
      <c r="C40" s="32"/>
      <c r="D40" s="32"/>
      <c r="E40" s="32"/>
      <c r="F40" s="327"/>
      <c r="G40" s="32"/>
      <c r="H40" s="32"/>
      <c r="I40" s="34"/>
      <c r="J40" s="2"/>
      <c r="K40" s="2"/>
    </row>
    <row r="41" spans="1:17" ht="15.75" customHeight="1" x14ac:dyDescent="0.3">
      <c r="A41" s="31"/>
      <c r="B41" s="32"/>
      <c r="C41" s="32"/>
      <c r="D41" s="32"/>
      <c r="E41" s="32"/>
      <c r="F41" s="327"/>
      <c r="G41" s="32"/>
      <c r="H41" s="32"/>
      <c r="I41" s="34"/>
      <c r="J41" s="2"/>
      <c r="K41" s="2"/>
    </row>
    <row r="42" spans="1:17" ht="15.75" customHeight="1" x14ac:dyDescent="0.4">
      <c r="A42" s="31"/>
      <c r="B42" s="32"/>
      <c r="C42" s="32"/>
      <c r="D42" s="32"/>
      <c r="E42" s="35"/>
      <c r="F42" s="327"/>
      <c r="G42" s="32"/>
      <c r="H42" s="32"/>
      <c r="I42" s="34"/>
      <c r="J42" s="2"/>
      <c r="K42" s="2"/>
    </row>
    <row r="43" spans="1:17" ht="15.75" customHeight="1" x14ac:dyDescent="0.3">
      <c r="A43" s="36"/>
      <c r="B43" s="32"/>
      <c r="C43" s="32"/>
      <c r="D43" s="32"/>
      <c r="E43" s="32"/>
      <c r="F43" s="327"/>
      <c r="G43" s="32"/>
      <c r="H43" s="32"/>
      <c r="I43" s="34"/>
      <c r="J43" s="2"/>
      <c r="K43" s="2"/>
    </row>
    <row r="44" spans="1:17" ht="15.75" customHeight="1" x14ac:dyDescent="0.3">
      <c r="A44" s="31"/>
      <c r="B44" s="32"/>
      <c r="C44" s="32"/>
      <c r="D44" s="32"/>
      <c r="E44" s="32"/>
      <c r="F44" s="327"/>
      <c r="G44" s="32"/>
      <c r="H44" s="32"/>
      <c r="I44" s="34"/>
      <c r="J44" s="2"/>
      <c r="K44" s="2"/>
    </row>
    <row r="45" spans="1:17" ht="15.75" customHeight="1" x14ac:dyDescent="0.3">
      <c r="A45" s="31"/>
      <c r="B45" s="32"/>
      <c r="C45" s="32"/>
      <c r="D45" s="32"/>
      <c r="E45" s="32"/>
      <c r="F45" s="327"/>
      <c r="G45" s="32"/>
      <c r="H45" s="32"/>
      <c r="I45" s="34"/>
      <c r="J45" s="2"/>
      <c r="K45" s="2"/>
    </row>
    <row r="46" spans="1:17" ht="15.75" customHeight="1" x14ac:dyDescent="0.3">
      <c r="A46" s="31"/>
      <c r="B46" s="32"/>
      <c r="C46" s="32"/>
      <c r="D46" s="32"/>
      <c r="E46" s="32"/>
      <c r="F46" s="327"/>
      <c r="G46" s="32"/>
      <c r="H46" s="32"/>
      <c r="I46" s="34"/>
      <c r="J46" s="2"/>
      <c r="K46" s="2"/>
    </row>
    <row r="47" spans="1:17" ht="15.75" customHeight="1" x14ac:dyDescent="0.3">
      <c r="A47" s="31"/>
      <c r="B47" s="32"/>
      <c r="C47" s="32"/>
      <c r="D47" s="32"/>
      <c r="E47" s="32"/>
      <c r="F47" s="327"/>
      <c r="G47" s="32"/>
      <c r="H47" s="32"/>
      <c r="I47" s="34"/>
      <c r="J47" s="2"/>
      <c r="K47" s="2"/>
    </row>
    <row r="48" spans="1:17" ht="15.75" customHeight="1" x14ac:dyDescent="0.3">
      <c r="A48" s="31"/>
      <c r="B48" s="32"/>
      <c r="C48" s="32"/>
      <c r="D48" s="32"/>
      <c r="E48" s="32"/>
      <c r="F48" s="327"/>
      <c r="G48" s="32"/>
      <c r="H48" s="32"/>
      <c r="I48" s="34"/>
      <c r="J48" s="2"/>
      <c r="K48" s="2"/>
    </row>
    <row r="49" spans="1:11" ht="15.75" customHeight="1" x14ac:dyDescent="0.4">
      <c r="A49" s="31"/>
      <c r="B49" s="328"/>
      <c r="C49" s="327"/>
      <c r="D49" s="327"/>
      <c r="E49" s="32"/>
      <c r="F49" s="2"/>
      <c r="G49" s="32"/>
      <c r="H49" s="32"/>
      <c r="I49" s="34"/>
      <c r="J49" s="2"/>
      <c r="K49" s="2"/>
    </row>
    <row r="50" spans="1:11" ht="15.75" customHeight="1" x14ac:dyDescent="0.3">
      <c r="A50" s="31"/>
      <c r="B50" s="32"/>
      <c r="C50" s="33"/>
      <c r="D50" s="32"/>
      <c r="E50" s="32"/>
      <c r="F50" s="32"/>
      <c r="G50" s="32"/>
      <c r="H50" s="32"/>
      <c r="I50" s="34"/>
      <c r="J50" s="2"/>
      <c r="K50" s="2"/>
    </row>
    <row r="51" spans="1:11" ht="15.75" customHeight="1" x14ac:dyDescent="0.3"/>
    <row r="52" spans="1:11" ht="15.75" customHeight="1" x14ac:dyDescent="0.3"/>
    <row r="53" spans="1:11" ht="15.75" customHeight="1" x14ac:dyDescent="0.3"/>
    <row r="54" spans="1:11" ht="15.75" customHeight="1" x14ac:dyDescent="0.3"/>
    <row r="55" spans="1:11" ht="15.75" customHeight="1" x14ac:dyDescent="0.3"/>
    <row r="56" spans="1:11" ht="15.75" customHeight="1" x14ac:dyDescent="0.3"/>
    <row r="57" spans="1:11" ht="15.75" customHeight="1" x14ac:dyDescent="0.3"/>
    <row r="58" spans="1:11" ht="15.75" customHeight="1" x14ac:dyDescent="0.3"/>
    <row r="59" spans="1:11" ht="15.75" customHeight="1" x14ac:dyDescent="0.3"/>
    <row r="60" spans="1:11" ht="15.75" customHeight="1" x14ac:dyDescent="0.3"/>
    <row r="61" spans="1:11" ht="15.75" customHeight="1" x14ac:dyDescent="0.3"/>
    <row r="62" spans="1:11" ht="15.75" customHeight="1" x14ac:dyDescent="0.3"/>
    <row r="63" spans="1:11" ht="15.75" customHeight="1" x14ac:dyDescent="0.3"/>
    <row r="64" spans="1:11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</sheetData>
  <mergeCells count="55">
    <mergeCell ref="I26:I28"/>
    <mergeCell ref="E3:H3"/>
    <mergeCell ref="A2:H2"/>
    <mergeCell ref="A1:H1"/>
    <mergeCell ref="C6:H6"/>
    <mergeCell ref="C7:H7"/>
    <mergeCell ref="I8:K8"/>
    <mergeCell ref="G8:G9"/>
    <mergeCell ref="H8:H9"/>
    <mergeCell ref="E5:H5"/>
    <mergeCell ref="E4:H4"/>
    <mergeCell ref="A3:C3"/>
    <mergeCell ref="A6:B6"/>
    <mergeCell ref="A10:A12"/>
    <mergeCell ref="A8:B9"/>
    <mergeCell ref="A7:B7"/>
    <mergeCell ref="C8:C9"/>
    <mergeCell ref="B49:D49"/>
    <mergeCell ref="A35:B35"/>
    <mergeCell ref="A21:A24"/>
    <mergeCell ref="A4:C4"/>
    <mergeCell ref="A5:C5"/>
    <mergeCell ref="A13:A20"/>
    <mergeCell ref="D8:F9"/>
    <mergeCell ref="D13:F13"/>
    <mergeCell ref="D14:F14"/>
    <mergeCell ref="D12:F12"/>
    <mergeCell ref="D18:F18"/>
    <mergeCell ref="D19:F19"/>
    <mergeCell ref="D20:F20"/>
    <mergeCell ref="D17:F17"/>
    <mergeCell ref="D11:F11"/>
    <mergeCell ref="D10:F10"/>
    <mergeCell ref="D15:F15"/>
    <mergeCell ref="A36:E37"/>
    <mergeCell ref="F36:H36"/>
    <mergeCell ref="C35:H35"/>
    <mergeCell ref="A34:B34"/>
    <mergeCell ref="D16:F16"/>
    <mergeCell ref="D22:D23"/>
    <mergeCell ref="C34:H34"/>
    <mergeCell ref="D30:F30"/>
    <mergeCell ref="E21:F21"/>
    <mergeCell ref="E24:F24"/>
    <mergeCell ref="B21:B24"/>
    <mergeCell ref="C21:C24"/>
    <mergeCell ref="D26:F26"/>
    <mergeCell ref="D25:F25"/>
    <mergeCell ref="F37:H37"/>
    <mergeCell ref="F39:F48"/>
    <mergeCell ref="D33:F33"/>
    <mergeCell ref="D32:F32"/>
    <mergeCell ref="G22:G23"/>
    <mergeCell ref="H22:H23"/>
    <mergeCell ref="E22:F23"/>
  </mergeCell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5"/>
  <sheetViews>
    <sheetView workbookViewId="0"/>
  </sheetViews>
  <sheetFormatPr baseColWidth="10" defaultColWidth="14.44140625" defaultRowHeight="15" customHeight="1" x14ac:dyDescent="0.3"/>
  <cols>
    <col min="1" max="1" width="15.109375" customWidth="1"/>
    <col min="2" max="2" width="24.109375" customWidth="1"/>
    <col min="3" max="3" width="13.33203125" customWidth="1"/>
    <col min="4" max="4" width="11.6640625" customWidth="1"/>
    <col min="5" max="5" width="8.33203125" customWidth="1"/>
    <col min="6" max="6" width="3.109375" customWidth="1"/>
    <col min="7" max="7" width="7" customWidth="1"/>
    <col min="8" max="8" width="8.109375" customWidth="1"/>
    <col min="9" max="9" width="15.88671875" customWidth="1"/>
    <col min="10" max="10" width="18.33203125" customWidth="1"/>
    <col min="11" max="11" width="17.44140625" customWidth="1"/>
    <col min="12" max="12" width="13.88671875" customWidth="1"/>
    <col min="13" max="17" width="8.5546875" customWidth="1"/>
  </cols>
  <sheetData>
    <row r="1" spans="1:12" ht="22.8" x14ac:dyDescent="0.4">
      <c r="A1" s="344"/>
      <c r="B1" s="332"/>
      <c r="C1" s="332"/>
      <c r="D1" s="332"/>
      <c r="E1" s="332"/>
      <c r="F1" s="332"/>
      <c r="G1" s="332"/>
      <c r="H1" s="330"/>
      <c r="I1" s="1"/>
      <c r="J1" s="2"/>
      <c r="K1" s="2"/>
    </row>
    <row r="2" spans="1:12" ht="21" x14ac:dyDescent="0.4">
      <c r="A2" s="343" t="s">
        <v>350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2" ht="21" x14ac:dyDescent="0.4">
      <c r="A3" s="345" t="s">
        <v>3</v>
      </c>
      <c r="B3" s="332"/>
      <c r="C3" s="330"/>
      <c r="D3" s="6">
        <v>220</v>
      </c>
      <c r="E3" s="345" t="s">
        <v>4</v>
      </c>
      <c r="F3" s="332"/>
      <c r="G3" s="332"/>
      <c r="H3" s="330"/>
      <c r="I3" s="1"/>
      <c r="J3" s="2"/>
      <c r="K3" s="2"/>
    </row>
    <row r="4" spans="1:12" ht="21" x14ac:dyDescent="0.4">
      <c r="A4" s="347" t="s">
        <v>6</v>
      </c>
      <c r="B4" s="332"/>
      <c r="C4" s="330"/>
      <c r="D4" s="6">
        <v>200</v>
      </c>
      <c r="E4" s="345" t="s">
        <v>4</v>
      </c>
      <c r="F4" s="332"/>
      <c r="G4" s="332"/>
      <c r="H4" s="330"/>
      <c r="I4" s="7"/>
      <c r="J4" s="2"/>
      <c r="K4" s="2"/>
    </row>
    <row r="5" spans="1:12" ht="21" x14ac:dyDescent="0.4">
      <c r="A5" s="347" t="s">
        <v>7</v>
      </c>
      <c r="B5" s="332"/>
      <c r="C5" s="330"/>
      <c r="D5" s="8">
        <v>1</v>
      </c>
      <c r="E5" s="345"/>
      <c r="F5" s="332"/>
      <c r="G5" s="332"/>
      <c r="H5" s="330"/>
      <c r="I5" s="9"/>
      <c r="J5" s="2"/>
      <c r="K5" s="2"/>
    </row>
    <row r="6" spans="1:12" ht="17.399999999999999" x14ac:dyDescent="0.3">
      <c r="A6" s="347" t="s">
        <v>8</v>
      </c>
      <c r="B6" s="330"/>
      <c r="C6" s="331" t="s">
        <v>351</v>
      </c>
      <c r="D6" s="332"/>
      <c r="E6" s="332"/>
      <c r="F6" s="332"/>
      <c r="G6" s="332"/>
      <c r="H6" s="330"/>
      <c r="I6" s="10"/>
      <c r="J6" s="2"/>
      <c r="K6" s="2"/>
    </row>
    <row r="7" spans="1:12" ht="17.25" customHeight="1" x14ac:dyDescent="0.3">
      <c r="A7" s="347" t="s">
        <v>9</v>
      </c>
      <c r="B7" s="330"/>
      <c r="C7" s="331" t="s">
        <v>352</v>
      </c>
      <c r="D7" s="332"/>
      <c r="E7" s="332"/>
      <c r="F7" s="332"/>
      <c r="G7" s="332"/>
      <c r="H7" s="330"/>
      <c r="I7" s="10"/>
      <c r="J7" s="2"/>
      <c r="K7" s="2"/>
    </row>
    <row r="8" spans="1:12" ht="18.75" customHeight="1" x14ac:dyDescent="0.4">
      <c r="A8" s="350" t="s">
        <v>10</v>
      </c>
      <c r="B8" s="336"/>
      <c r="C8" s="349" t="s">
        <v>11</v>
      </c>
      <c r="D8" s="348" t="s">
        <v>12</v>
      </c>
      <c r="E8" s="335"/>
      <c r="F8" s="336"/>
      <c r="G8" s="351" t="s">
        <v>13</v>
      </c>
      <c r="H8" s="351" t="s">
        <v>14</v>
      </c>
      <c r="I8" s="358"/>
      <c r="J8" s="332"/>
      <c r="K8" s="330"/>
    </row>
    <row r="9" spans="1:12" ht="19.5" customHeight="1" x14ac:dyDescent="0.4">
      <c r="A9" s="337"/>
      <c r="B9" s="339"/>
      <c r="C9" s="342"/>
      <c r="D9" s="337"/>
      <c r="E9" s="338"/>
      <c r="F9" s="339"/>
      <c r="G9" s="342"/>
      <c r="H9" s="342"/>
      <c r="I9" s="12"/>
      <c r="J9" s="12"/>
      <c r="K9" s="12"/>
    </row>
    <row r="10" spans="1:12" ht="14.4" x14ac:dyDescent="0.3">
      <c r="A10" s="353" t="s">
        <v>19</v>
      </c>
      <c r="B10" s="13" t="s">
        <v>353</v>
      </c>
      <c r="C10" s="13">
        <v>3418</v>
      </c>
      <c r="D10" s="346">
        <f>D4</f>
        <v>200</v>
      </c>
      <c r="E10" s="332"/>
      <c r="F10" s="330"/>
      <c r="G10" s="13">
        <f>D5*2</f>
        <v>2</v>
      </c>
      <c r="H10" s="13">
        <v>45</v>
      </c>
      <c r="I10" s="13"/>
      <c r="J10" s="13"/>
      <c r="K10" s="14"/>
      <c r="L10" s="2"/>
    </row>
    <row r="11" spans="1:12" ht="14.4" x14ac:dyDescent="0.3">
      <c r="A11" s="354"/>
      <c r="B11" s="13"/>
      <c r="C11" s="13"/>
      <c r="D11" s="346"/>
      <c r="E11" s="332"/>
      <c r="F11" s="330"/>
      <c r="G11" s="13"/>
      <c r="H11" s="13"/>
      <c r="I11" s="13"/>
      <c r="J11" s="13"/>
      <c r="K11" s="14"/>
    </row>
    <row r="12" spans="1:12" ht="14.4" x14ac:dyDescent="0.3">
      <c r="A12" s="342"/>
      <c r="B12" s="13" t="s">
        <v>354</v>
      </c>
      <c r="C12" s="13">
        <v>3418</v>
      </c>
      <c r="D12" s="346">
        <f>D3</f>
        <v>220</v>
      </c>
      <c r="E12" s="332"/>
      <c r="F12" s="330"/>
      <c r="G12" s="13">
        <f>D5*2</f>
        <v>2</v>
      </c>
      <c r="H12" s="13">
        <v>45</v>
      </c>
      <c r="I12" s="13"/>
      <c r="J12" s="13"/>
      <c r="K12" s="14"/>
    </row>
    <row r="13" spans="1:12" ht="14.4" x14ac:dyDescent="0.3">
      <c r="A13" s="353" t="s">
        <v>29</v>
      </c>
      <c r="B13" s="13" t="s">
        <v>355</v>
      </c>
      <c r="C13" s="13">
        <v>3421</v>
      </c>
      <c r="D13" s="346">
        <f>D3-4.2</f>
        <v>215.8</v>
      </c>
      <c r="E13" s="332"/>
      <c r="F13" s="330"/>
      <c r="G13" s="13">
        <f>D5*1</f>
        <v>1</v>
      </c>
      <c r="H13" s="13">
        <v>90</v>
      </c>
      <c r="I13" s="13"/>
      <c r="J13" s="13"/>
      <c r="K13" s="14"/>
    </row>
    <row r="14" spans="1:12" ht="14.4" x14ac:dyDescent="0.3">
      <c r="A14" s="354"/>
      <c r="B14" s="13"/>
      <c r="C14" s="13"/>
      <c r="D14" s="346"/>
      <c r="E14" s="332"/>
      <c r="F14" s="330"/>
      <c r="G14" s="13"/>
      <c r="H14" s="13"/>
      <c r="I14" s="13"/>
      <c r="J14" s="13"/>
      <c r="K14" s="14"/>
    </row>
    <row r="15" spans="1:12" ht="14.4" x14ac:dyDescent="0.3">
      <c r="A15" s="354"/>
      <c r="B15" s="13"/>
      <c r="C15" s="13"/>
      <c r="D15" s="346"/>
      <c r="E15" s="332"/>
      <c r="F15" s="330"/>
      <c r="G15" s="13"/>
      <c r="H15" s="13"/>
      <c r="I15" s="13"/>
      <c r="J15" s="13"/>
      <c r="K15" s="14"/>
    </row>
    <row r="16" spans="1:12" ht="14.4" x14ac:dyDescent="0.3">
      <c r="A16" s="354"/>
      <c r="B16" s="13" t="s">
        <v>356</v>
      </c>
      <c r="C16" s="13">
        <v>3420</v>
      </c>
      <c r="D16" s="346">
        <f>D3-4.2</f>
        <v>215.8</v>
      </c>
      <c r="E16" s="332"/>
      <c r="F16" s="330"/>
      <c r="G16" s="13">
        <f>D5*4</f>
        <v>4</v>
      </c>
      <c r="H16" s="13">
        <v>45</v>
      </c>
      <c r="I16" s="13"/>
      <c r="J16" s="13"/>
      <c r="K16" s="14"/>
    </row>
    <row r="17" spans="1:17" ht="14.4" x14ac:dyDescent="0.3">
      <c r="A17" s="354"/>
      <c r="B17" s="13" t="s">
        <v>357</v>
      </c>
      <c r="C17" s="15">
        <v>3420</v>
      </c>
      <c r="D17" s="346">
        <f>(D4/2)+1</f>
        <v>101</v>
      </c>
      <c r="E17" s="332"/>
      <c r="F17" s="330"/>
      <c r="G17" s="13">
        <f>D5*4</f>
        <v>4</v>
      </c>
      <c r="H17" s="13">
        <v>45</v>
      </c>
      <c r="I17" s="15"/>
      <c r="J17" s="13"/>
      <c r="K17" s="14"/>
    </row>
    <row r="18" spans="1:17" ht="14.4" x14ac:dyDescent="0.3">
      <c r="A18" s="354"/>
      <c r="B18" s="13"/>
      <c r="C18" s="15"/>
      <c r="D18" s="346"/>
      <c r="E18" s="332"/>
      <c r="F18" s="330"/>
      <c r="G18" s="13"/>
      <c r="H18" s="13"/>
      <c r="I18" s="214"/>
      <c r="J18" s="76"/>
      <c r="K18" s="215"/>
    </row>
    <row r="19" spans="1:17" ht="14.4" x14ac:dyDescent="0.3">
      <c r="A19" s="342"/>
      <c r="B19" s="13"/>
      <c r="C19" s="15"/>
      <c r="D19" s="346"/>
      <c r="E19" s="332"/>
      <c r="F19" s="330"/>
      <c r="G19" s="13"/>
      <c r="H19" s="13"/>
      <c r="I19" s="214"/>
      <c r="J19" s="76"/>
      <c r="K19" s="215"/>
    </row>
    <row r="20" spans="1:17" ht="16.5" customHeight="1" x14ac:dyDescent="0.3">
      <c r="A20" s="355" t="s">
        <v>39</v>
      </c>
      <c r="B20" s="359" t="s">
        <v>341</v>
      </c>
      <c r="C20" s="341"/>
      <c r="D20" s="16" t="s">
        <v>3</v>
      </c>
      <c r="E20" s="329" t="s">
        <v>41</v>
      </c>
      <c r="F20" s="330"/>
      <c r="G20" s="17"/>
      <c r="H20" s="18"/>
      <c r="I20" s="2"/>
      <c r="J20" s="2"/>
      <c r="K20" s="2"/>
    </row>
    <row r="21" spans="1:17" ht="15.75" customHeight="1" x14ac:dyDescent="0.3">
      <c r="A21" s="354"/>
      <c r="B21" s="354"/>
      <c r="C21" s="354"/>
      <c r="D21" s="528">
        <f>D3-16.1</f>
        <v>203.9</v>
      </c>
      <c r="E21" s="529">
        <f>D4/2-10.9</f>
        <v>89.1</v>
      </c>
      <c r="F21" s="336"/>
      <c r="G21" s="485">
        <f>D5*2</f>
        <v>2</v>
      </c>
      <c r="H21" s="485"/>
      <c r="I21" s="10"/>
      <c r="M21" s="2"/>
      <c r="N21" s="2"/>
    </row>
    <row r="22" spans="1:17" ht="15.75" customHeight="1" x14ac:dyDescent="0.3">
      <c r="A22" s="342"/>
      <c r="B22" s="342"/>
      <c r="C22" s="342"/>
      <c r="D22" s="342"/>
      <c r="E22" s="337"/>
      <c r="F22" s="339"/>
      <c r="G22" s="342"/>
      <c r="H22" s="342"/>
      <c r="I22" s="10"/>
      <c r="M22" s="2"/>
      <c r="N22" s="2"/>
    </row>
    <row r="23" spans="1:17" ht="15.75" customHeight="1" x14ac:dyDescent="0.3">
      <c r="A23" s="20" t="s">
        <v>42</v>
      </c>
      <c r="B23" s="13"/>
      <c r="C23" s="21"/>
      <c r="D23" s="356"/>
      <c r="E23" s="332"/>
      <c r="F23" s="330"/>
      <c r="G23" s="13">
        <f>(D21*4)+(E21*4)*D5</f>
        <v>1172</v>
      </c>
      <c r="H23" s="13" t="s">
        <v>43</v>
      </c>
      <c r="I23" s="10"/>
      <c r="M23" s="2"/>
      <c r="N23" s="2"/>
    </row>
    <row r="24" spans="1:17" ht="15.75" customHeight="1" x14ac:dyDescent="0.3">
      <c r="A24" s="20" t="s">
        <v>44</v>
      </c>
      <c r="B24" s="13" t="s">
        <v>45</v>
      </c>
      <c r="C24" s="13"/>
      <c r="D24" s="333"/>
      <c r="E24" s="332"/>
      <c r="F24" s="330"/>
      <c r="G24" s="13">
        <f>D5*16</f>
        <v>16</v>
      </c>
      <c r="H24" s="13"/>
      <c r="I24" s="352"/>
      <c r="J24" s="2"/>
      <c r="K24" s="2"/>
      <c r="L24" s="2"/>
      <c r="M24" s="2"/>
      <c r="N24" s="2"/>
    </row>
    <row r="25" spans="1:17" ht="15.75" customHeight="1" x14ac:dyDescent="0.3">
      <c r="A25" s="20"/>
      <c r="B25" s="13" t="s">
        <v>46</v>
      </c>
      <c r="C25" s="13"/>
      <c r="D25" s="23"/>
      <c r="E25" s="23"/>
      <c r="F25" s="24"/>
      <c r="G25" s="24">
        <f>D5*8</f>
        <v>8</v>
      </c>
      <c r="H25" s="13"/>
      <c r="I25" s="327"/>
      <c r="J25" s="2"/>
      <c r="K25" s="2"/>
      <c r="L25" s="2"/>
      <c r="M25" s="2"/>
      <c r="N25" s="2"/>
    </row>
    <row r="26" spans="1:17" ht="15.75" customHeight="1" x14ac:dyDescent="0.3">
      <c r="A26" s="20"/>
      <c r="B26" s="13" t="s">
        <v>47</v>
      </c>
      <c r="C26" s="13"/>
      <c r="D26" s="22"/>
      <c r="E26" s="25"/>
      <c r="F26" s="24"/>
      <c r="G26" s="24">
        <f>D5*4</f>
        <v>4</v>
      </c>
      <c r="H26" s="13"/>
      <c r="I26" s="327"/>
      <c r="J26" s="2"/>
      <c r="K26" s="2"/>
      <c r="L26" s="2"/>
      <c r="M26" s="2"/>
      <c r="N26" s="2"/>
    </row>
    <row r="27" spans="1:17" ht="15.75" customHeight="1" x14ac:dyDescent="0.3">
      <c r="A27" s="557" t="s">
        <v>358</v>
      </c>
      <c r="B27" s="330"/>
      <c r="C27" s="13" t="s">
        <v>359</v>
      </c>
      <c r="D27" s="27"/>
      <c r="E27" s="23"/>
      <c r="F27" s="28"/>
      <c r="G27" s="24">
        <f>D5*16</f>
        <v>16</v>
      </c>
      <c r="H27" s="13"/>
      <c r="I27" s="10"/>
      <c r="J27" s="2"/>
      <c r="K27" s="29"/>
      <c r="L27" s="2"/>
      <c r="M27" s="2"/>
      <c r="N27" s="2"/>
    </row>
    <row r="28" spans="1:17" ht="15.75" customHeight="1" x14ac:dyDescent="0.3">
      <c r="A28" s="20" t="s">
        <v>50</v>
      </c>
      <c r="B28" s="13" t="s">
        <v>51</v>
      </c>
      <c r="C28" s="13" t="s">
        <v>360</v>
      </c>
      <c r="D28" s="340"/>
      <c r="E28" s="332"/>
      <c r="F28" s="330"/>
      <c r="G28" s="24">
        <f>D5*2</f>
        <v>2</v>
      </c>
      <c r="H28" s="13"/>
      <c r="I28" s="10"/>
      <c r="J28" s="2"/>
      <c r="K28" s="2"/>
      <c r="L28" s="2"/>
      <c r="M28" s="2"/>
      <c r="N28" s="2"/>
    </row>
    <row r="29" spans="1:17" ht="15.75" customHeight="1" x14ac:dyDescent="0.3">
      <c r="A29" s="20" t="s">
        <v>52</v>
      </c>
      <c r="B29" s="30">
        <v>0.25</v>
      </c>
      <c r="C29" s="13"/>
      <c r="D29" s="22"/>
      <c r="E29" s="25"/>
      <c r="F29" s="24"/>
      <c r="G29" s="24">
        <f>D5*4</f>
        <v>4</v>
      </c>
      <c r="H29" s="13"/>
      <c r="I29" s="10"/>
      <c r="J29" s="2"/>
      <c r="K29" s="2"/>
      <c r="L29" s="2"/>
      <c r="M29" s="2"/>
      <c r="N29" s="2"/>
    </row>
    <row r="30" spans="1:17" ht="15.75" customHeight="1" x14ac:dyDescent="0.3">
      <c r="A30" s="20"/>
      <c r="B30" s="13"/>
      <c r="C30" s="13"/>
      <c r="D30" s="333"/>
      <c r="E30" s="332"/>
      <c r="F30" s="330"/>
      <c r="G30" s="24">
        <f>D5*4</f>
        <v>4</v>
      </c>
      <c r="H30" s="13"/>
      <c r="I30" s="10"/>
      <c r="J30" s="2"/>
      <c r="K30" s="2"/>
      <c r="L30" s="2"/>
      <c r="M30" s="2"/>
      <c r="N30" s="2"/>
    </row>
    <row r="31" spans="1:17" ht="15.75" customHeight="1" x14ac:dyDescent="0.3">
      <c r="A31" s="20" t="s">
        <v>54</v>
      </c>
      <c r="B31" s="13" t="s">
        <v>343</v>
      </c>
      <c r="C31" s="13"/>
      <c r="D31" s="333"/>
      <c r="E31" s="332"/>
      <c r="F31" s="330"/>
      <c r="G31" s="24">
        <f>D5*1</f>
        <v>1</v>
      </c>
      <c r="H31" s="13"/>
      <c r="I31" s="10"/>
      <c r="J31" s="2"/>
      <c r="K31" s="2"/>
      <c r="O31" s="2"/>
      <c r="P31" s="2"/>
      <c r="Q31" s="2"/>
    </row>
    <row r="32" spans="1:17" ht="15.75" customHeight="1" x14ac:dyDescent="0.3">
      <c r="A32" s="331" t="s">
        <v>56</v>
      </c>
      <c r="B32" s="330"/>
      <c r="C32" s="331"/>
      <c r="D32" s="332"/>
      <c r="E32" s="332"/>
      <c r="F32" s="332"/>
      <c r="G32" s="332"/>
      <c r="H32" s="330"/>
      <c r="I32" s="10"/>
      <c r="J32" s="2"/>
      <c r="K32" s="2"/>
    </row>
    <row r="33" spans="1:11" ht="15.75" customHeight="1" x14ac:dyDescent="0.3">
      <c r="A33" s="331" t="s">
        <v>57</v>
      </c>
      <c r="B33" s="330"/>
      <c r="C33" s="331"/>
      <c r="D33" s="332"/>
      <c r="E33" s="332"/>
      <c r="F33" s="332"/>
      <c r="G33" s="332"/>
      <c r="H33" s="330"/>
      <c r="I33" s="10"/>
      <c r="J33" s="2"/>
      <c r="K33" s="2"/>
    </row>
    <row r="34" spans="1:11" ht="15.75" customHeight="1" x14ac:dyDescent="0.3">
      <c r="A34" s="334" t="s">
        <v>58</v>
      </c>
      <c r="B34" s="335"/>
      <c r="C34" s="335"/>
      <c r="D34" s="335"/>
      <c r="E34" s="336"/>
      <c r="F34" s="331"/>
      <c r="G34" s="332"/>
      <c r="H34" s="330"/>
      <c r="I34" s="10"/>
      <c r="J34" s="2"/>
      <c r="K34" s="2"/>
    </row>
    <row r="35" spans="1:11" ht="15.75" customHeight="1" x14ac:dyDescent="0.3">
      <c r="A35" s="337"/>
      <c r="B35" s="338"/>
      <c r="C35" s="338"/>
      <c r="D35" s="338"/>
      <c r="E35" s="339"/>
      <c r="F35" s="331" t="s">
        <v>59</v>
      </c>
      <c r="G35" s="332"/>
      <c r="H35" s="330"/>
      <c r="I35" s="10"/>
      <c r="J35" s="2"/>
      <c r="K35" s="2"/>
    </row>
    <row r="36" spans="1:11" ht="15.75" customHeight="1" x14ac:dyDescent="0.3">
      <c r="A36" s="31"/>
      <c r="B36" s="32"/>
      <c r="C36" s="33"/>
      <c r="D36" s="32"/>
      <c r="E36" s="32"/>
      <c r="F36" s="32"/>
      <c r="G36" s="32"/>
      <c r="H36" s="32"/>
      <c r="I36" s="34"/>
      <c r="J36" s="2"/>
      <c r="K36" s="2"/>
    </row>
    <row r="37" spans="1:11" ht="15.75" customHeight="1" x14ac:dyDescent="0.3">
      <c r="A37" s="31"/>
      <c r="B37" s="32"/>
      <c r="C37" s="32"/>
      <c r="D37" s="32"/>
      <c r="E37" s="32"/>
      <c r="F37" s="326"/>
      <c r="G37" s="32"/>
      <c r="H37" s="32"/>
      <c r="I37" s="34"/>
      <c r="J37" s="2"/>
      <c r="K37" s="2"/>
    </row>
    <row r="38" spans="1:11" ht="15.75" customHeight="1" x14ac:dyDescent="0.3">
      <c r="A38" s="31"/>
      <c r="B38" s="32"/>
      <c r="C38" s="32"/>
      <c r="D38" s="32"/>
      <c r="E38" s="32"/>
      <c r="F38" s="327"/>
      <c r="G38" s="32"/>
      <c r="H38" s="32"/>
      <c r="I38" s="34"/>
      <c r="J38" s="2"/>
      <c r="K38" s="2"/>
    </row>
    <row r="39" spans="1:11" ht="15.75" customHeight="1" x14ac:dyDescent="0.3">
      <c r="A39" s="31"/>
      <c r="B39" s="32"/>
      <c r="C39" s="32"/>
      <c r="D39" s="32"/>
      <c r="E39" s="32"/>
      <c r="F39" s="327"/>
      <c r="G39" s="32"/>
      <c r="H39" s="32"/>
      <c r="I39" s="34"/>
      <c r="J39" s="2"/>
      <c r="K39" s="2"/>
    </row>
    <row r="40" spans="1:11" ht="15.75" customHeight="1" x14ac:dyDescent="0.4">
      <c r="A40" s="31"/>
      <c r="B40" s="32"/>
      <c r="C40" s="32"/>
      <c r="D40" s="32"/>
      <c r="E40" s="35"/>
      <c r="F40" s="327"/>
      <c r="G40" s="32"/>
      <c r="H40" s="32"/>
      <c r="I40" s="34"/>
      <c r="J40" s="2"/>
      <c r="K40" s="2"/>
    </row>
    <row r="41" spans="1:11" ht="15.75" customHeight="1" x14ac:dyDescent="0.3">
      <c r="A41" s="36"/>
      <c r="B41" s="32"/>
      <c r="C41" s="32"/>
      <c r="D41" s="32"/>
      <c r="E41" s="32"/>
      <c r="F41" s="327"/>
      <c r="G41" s="32"/>
      <c r="H41" s="32"/>
      <c r="I41" s="34"/>
      <c r="J41" s="2"/>
      <c r="K41" s="2"/>
    </row>
    <row r="42" spans="1:11" ht="15.75" customHeight="1" x14ac:dyDescent="0.3">
      <c r="A42" s="31"/>
      <c r="B42" s="32"/>
      <c r="C42" s="32"/>
      <c r="D42" s="32"/>
      <c r="E42" s="32"/>
      <c r="F42" s="327"/>
      <c r="G42" s="32"/>
      <c r="H42" s="32"/>
      <c r="I42" s="34"/>
      <c r="J42" s="2"/>
      <c r="K42" s="2"/>
    </row>
    <row r="43" spans="1:11" ht="15.75" customHeight="1" x14ac:dyDescent="0.3">
      <c r="A43" s="31"/>
      <c r="B43" s="32"/>
      <c r="C43" s="32"/>
      <c r="D43" s="32"/>
      <c r="E43" s="32"/>
      <c r="F43" s="327"/>
      <c r="G43" s="32"/>
      <c r="H43" s="32"/>
      <c r="I43" s="34"/>
      <c r="J43" s="2"/>
      <c r="K43" s="2"/>
    </row>
    <row r="44" spans="1:11" ht="15.75" customHeight="1" x14ac:dyDescent="0.3">
      <c r="A44" s="31"/>
      <c r="B44" s="32"/>
      <c r="C44" s="32"/>
      <c r="D44" s="32"/>
      <c r="E44" s="32"/>
      <c r="F44" s="327"/>
      <c r="G44" s="32"/>
      <c r="H44" s="32"/>
      <c r="I44" s="34"/>
      <c r="J44" s="2"/>
      <c r="K44" s="2"/>
    </row>
    <row r="45" spans="1:11" ht="15.75" customHeight="1" x14ac:dyDescent="0.3">
      <c r="A45" s="31"/>
      <c r="B45" s="32"/>
      <c r="C45" s="32"/>
      <c r="D45" s="32"/>
      <c r="E45" s="32"/>
      <c r="F45" s="327"/>
      <c r="G45" s="32"/>
      <c r="H45" s="32"/>
      <c r="I45" s="34"/>
      <c r="J45" s="2"/>
      <c r="K45" s="2"/>
    </row>
    <row r="46" spans="1:11" ht="15.75" customHeight="1" x14ac:dyDescent="0.3">
      <c r="A46" s="31"/>
      <c r="B46" s="32"/>
      <c r="C46" s="32"/>
      <c r="D46" s="32"/>
      <c r="E46" s="32"/>
      <c r="F46" s="327"/>
      <c r="G46" s="32"/>
      <c r="H46" s="32"/>
      <c r="I46" s="34"/>
      <c r="J46" s="2"/>
      <c r="K46" s="2"/>
    </row>
    <row r="47" spans="1:11" ht="15.75" customHeight="1" x14ac:dyDescent="0.4">
      <c r="A47" s="31"/>
      <c r="B47" s="328"/>
      <c r="C47" s="327"/>
      <c r="D47" s="327"/>
      <c r="E47" s="32"/>
      <c r="F47" s="2"/>
      <c r="G47" s="32"/>
      <c r="H47" s="32"/>
      <c r="I47" s="34"/>
      <c r="J47" s="2"/>
      <c r="K47" s="2"/>
    </row>
    <row r="48" spans="1:11" ht="15.75" customHeight="1" x14ac:dyDescent="0.3">
      <c r="A48" s="31"/>
      <c r="B48" s="32"/>
      <c r="C48" s="33"/>
      <c r="D48" s="32"/>
      <c r="E48" s="32"/>
      <c r="F48" s="32"/>
      <c r="G48" s="32"/>
      <c r="H48" s="32"/>
      <c r="I48" s="34"/>
      <c r="J48" s="2"/>
      <c r="K48" s="2"/>
    </row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</sheetData>
  <mergeCells count="54">
    <mergeCell ref="I24:I26"/>
    <mergeCell ref="E21:F22"/>
    <mergeCell ref="D23:F23"/>
    <mergeCell ref="D21:D22"/>
    <mergeCell ref="D28:F28"/>
    <mergeCell ref="A1:H1"/>
    <mergeCell ref="E3:H3"/>
    <mergeCell ref="D17:F17"/>
    <mergeCell ref="D18:F18"/>
    <mergeCell ref="D13:F13"/>
    <mergeCell ref="D12:F12"/>
    <mergeCell ref="D15:F15"/>
    <mergeCell ref="D16:F16"/>
    <mergeCell ref="B47:D47"/>
    <mergeCell ref="A4:C4"/>
    <mergeCell ref="E4:H4"/>
    <mergeCell ref="A3:C3"/>
    <mergeCell ref="A2:H2"/>
    <mergeCell ref="C20:C22"/>
    <mergeCell ref="E20:F20"/>
    <mergeCell ref="D24:F24"/>
    <mergeCell ref="A27:B27"/>
    <mergeCell ref="F35:H35"/>
    <mergeCell ref="F37:F46"/>
    <mergeCell ref="D30:F30"/>
    <mergeCell ref="D31:F31"/>
    <mergeCell ref="A33:B33"/>
    <mergeCell ref="C33:H33"/>
    <mergeCell ref="A32:B32"/>
    <mergeCell ref="C32:H32"/>
    <mergeCell ref="A34:E35"/>
    <mergeCell ref="F34:H34"/>
    <mergeCell ref="E5:H5"/>
    <mergeCell ref="A5:C5"/>
    <mergeCell ref="D14:F14"/>
    <mergeCell ref="D19:F19"/>
    <mergeCell ref="A10:A12"/>
    <mergeCell ref="A7:B7"/>
    <mergeCell ref="A8:B9"/>
    <mergeCell ref="B20:B22"/>
    <mergeCell ref="C6:H6"/>
    <mergeCell ref="A6:B6"/>
    <mergeCell ref="C7:H7"/>
    <mergeCell ref="I8:K8"/>
    <mergeCell ref="G8:G9"/>
    <mergeCell ref="H8:H9"/>
    <mergeCell ref="A20:A22"/>
    <mergeCell ref="A13:A19"/>
    <mergeCell ref="H21:H22"/>
    <mergeCell ref="G21:G22"/>
    <mergeCell ref="D11:F11"/>
    <mergeCell ref="D10:F10"/>
    <mergeCell ref="C8:C9"/>
    <mergeCell ref="D8:F9"/>
  </mergeCell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7"/>
  <sheetViews>
    <sheetView workbookViewId="0"/>
  </sheetViews>
  <sheetFormatPr baseColWidth="10" defaultColWidth="14.44140625" defaultRowHeight="15" customHeight="1" x14ac:dyDescent="0.3"/>
  <cols>
    <col min="1" max="1" width="15.109375" customWidth="1"/>
    <col min="2" max="2" width="24.109375" customWidth="1"/>
    <col min="3" max="3" width="13.33203125" customWidth="1"/>
    <col min="4" max="4" width="11.6640625" customWidth="1"/>
    <col min="5" max="5" width="8.33203125" customWidth="1"/>
    <col min="6" max="6" width="3.109375" customWidth="1"/>
    <col min="7" max="7" width="7" customWidth="1"/>
    <col min="8" max="8" width="8.109375" customWidth="1"/>
    <col min="9" max="9" width="15.88671875" customWidth="1"/>
    <col min="10" max="10" width="18.33203125" customWidth="1"/>
    <col min="11" max="11" width="17.44140625" customWidth="1"/>
    <col min="12" max="12" width="13.88671875" customWidth="1"/>
    <col min="13" max="17" width="8.5546875" customWidth="1"/>
  </cols>
  <sheetData>
    <row r="1" spans="1:12" ht="22.8" x14ac:dyDescent="0.4">
      <c r="A1" s="344"/>
      <c r="B1" s="332"/>
      <c r="C1" s="332"/>
      <c r="D1" s="332"/>
      <c r="E1" s="332"/>
      <c r="F1" s="332"/>
      <c r="G1" s="332"/>
      <c r="H1" s="330"/>
      <c r="I1" s="1"/>
      <c r="J1" s="2"/>
      <c r="K1" s="2"/>
    </row>
    <row r="2" spans="1:12" ht="21" x14ac:dyDescent="0.4">
      <c r="A2" s="343" t="s">
        <v>361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2" ht="21" x14ac:dyDescent="0.4">
      <c r="A3" s="345" t="s">
        <v>3</v>
      </c>
      <c r="B3" s="332"/>
      <c r="C3" s="330"/>
      <c r="D3" s="6">
        <v>220</v>
      </c>
      <c r="E3" s="345" t="s">
        <v>4</v>
      </c>
      <c r="F3" s="332"/>
      <c r="G3" s="332"/>
      <c r="H3" s="330"/>
      <c r="I3" s="1"/>
      <c r="J3" s="2"/>
      <c r="K3" s="2"/>
    </row>
    <row r="4" spans="1:12" ht="21" x14ac:dyDescent="0.4">
      <c r="A4" s="347" t="s">
        <v>6</v>
      </c>
      <c r="B4" s="332"/>
      <c r="C4" s="330"/>
      <c r="D4" s="6">
        <v>200</v>
      </c>
      <c r="E4" s="345" t="s">
        <v>4</v>
      </c>
      <c r="F4" s="332"/>
      <c r="G4" s="332"/>
      <c r="H4" s="330"/>
      <c r="I4" s="7"/>
      <c r="J4" s="2"/>
      <c r="K4" s="2"/>
    </row>
    <row r="5" spans="1:12" ht="21" x14ac:dyDescent="0.4">
      <c r="A5" s="347" t="s">
        <v>7</v>
      </c>
      <c r="B5" s="332"/>
      <c r="C5" s="330"/>
      <c r="D5" s="8">
        <v>1</v>
      </c>
      <c r="E5" s="345"/>
      <c r="F5" s="332"/>
      <c r="G5" s="332"/>
      <c r="H5" s="330"/>
      <c r="I5" s="9"/>
      <c r="J5" s="2"/>
      <c r="K5" s="2"/>
    </row>
    <row r="6" spans="1:12" ht="17.399999999999999" x14ac:dyDescent="0.3">
      <c r="A6" s="347" t="s">
        <v>8</v>
      </c>
      <c r="B6" s="330"/>
      <c r="C6" s="331"/>
      <c r="D6" s="332"/>
      <c r="E6" s="332"/>
      <c r="F6" s="332"/>
      <c r="G6" s="332"/>
      <c r="H6" s="330"/>
      <c r="I6" s="10"/>
      <c r="J6" s="2"/>
      <c r="K6" s="2"/>
    </row>
    <row r="7" spans="1:12" ht="17.25" customHeight="1" x14ac:dyDescent="0.3">
      <c r="A7" s="347" t="s">
        <v>9</v>
      </c>
      <c r="B7" s="330"/>
      <c r="C7" s="331"/>
      <c r="D7" s="332"/>
      <c r="E7" s="332"/>
      <c r="F7" s="332"/>
      <c r="G7" s="332"/>
      <c r="H7" s="330"/>
      <c r="I7" s="10"/>
      <c r="J7" s="2"/>
      <c r="K7" s="2"/>
    </row>
    <row r="8" spans="1:12" ht="18.75" customHeight="1" x14ac:dyDescent="0.4">
      <c r="A8" s="350" t="s">
        <v>10</v>
      </c>
      <c r="B8" s="336"/>
      <c r="C8" s="349" t="s">
        <v>11</v>
      </c>
      <c r="D8" s="348" t="s">
        <v>12</v>
      </c>
      <c r="E8" s="335"/>
      <c r="F8" s="336"/>
      <c r="G8" s="351" t="s">
        <v>13</v>
      </c>
      <c r="H8" s="351" t="s">
        <v>14</v>
      </c>
      <c r="I8" s="358"/>
      <c r="J8" s="332"/>
      <c r="K8" s="330"/>
    </row>
    <row r="9" spans="1:12" ht="19.5" customHeight="1" x14ac:dyDescent="0.4">
      <c r="A9" s="337"/>
      <c r="B9" s="339"/>
      <c r="C9" s="342"/>
      <c r="D9" s="337"/>
      <c r="E9" s="338"/>
      <c r="F9" s="339"/>
      <c r="G9" s="342"/>
      <c r="H9" s="342"/>
      <c r="I9" s="12"/>
      <c r="J9" s="12"/>
      <c r="K9" s="12"/>
    </row>
    <row r="10" spans="1:12" ht="14.4" x14ac:dyDescent="0.3">
      <c r="A10" s="353" t="s">
        <v>19</v>
      </c>
      <c r="B10" s="13" t="s">
        <v>20</v>
      </c>
      <c r="C10" s="13">
        <v>3199</v>
      </c>
      <c r="D10" s="346">
        <f>D4</f>
        <v>200</v>
      </c>
      <c r="E10" s="332"/>
      <c r="F10" s="330"/>
      <c r="G10" s="13">
        <f>D5*1</f>
        <v>1</v>
      </c>
      <c r="H10" s="13">
        <v>90</v>
      </c>
      <c r="I10" s="13"/>
      <c r="J10" s="13"/>
      <c r="K10" s="14"/>
      <c r="L10" s="2"/>
    </row>
    <row r="11" spans="1:12" ht="14.4" x14ac:dyDescent="0.3">
      <c r="A11" s="354"/>
      <c r="B11" s="13" t="s">
        <v>23</v>
      </c>
      <c r="C11" s="13">
        <v>3200</v>
      </c>
      <c r="D11" s="346">
        <f>D4</f>
        <v>200</v>
      </c>
      <c r="E11" s="332"/>
      <c r="F11" s="330"/>
      <c r="G11" s="13">
        <f>D5*1</f>
        <v>1</v>
      </c>
      <c r="H11" s="13">
        <v>90</v>
      </c>
      <c r="I11" s="13"/>
      <c r="J11" s="13"/>
      <c r="K11" s="14"/>
    </row>
    <row r="12" spans="1:12" ht="14.4" x14ac:dyDescent="0.3">
      <c r="A12" s="342"/>
      <c r="B12" s="13" t="s">
        <v>26</v>
      </c>
      <c r="C12" s="13">
        <v>3191</v>
      </c>
      <c r="D12" s="346">
        <f>D3-0.8</f>
        <v>219.2</v>
      </c>
      <c r="E12" s="332"/>
      <c r="F12" s="330"/>
      <c r="G12" s="13">
        <f>D5*2</f>
        <v>2</v>
      </c>
      <c r="H12" s="13">
        <v>90</v>
      </c>
      <c r="I12" s="13" t="s">
        <v>362</v>
      </c>
      <c r="J12" s="13"/>
      <c r="K12" s="14"/>
    </row>
    <row r="13" spans="1:12" ht="14.4" x14ac:dyDescent="0.3">
      <c r="A13" s="353" t="s">
        <v>29</v>
      </c>
      <c r="B13" s="13"/>
      <c r="C13" s="13"/>
      <c r="D13" s="346"/>
      <c r="E13" s="332"/>
      <c r="F13" s="330"/>
      <c r="G13" s="13"/>
      <c r="H13" s="13"/>
      <c r="I13" s="13"/>
      <c r="J13" s="13"/>
      <c r="K13" s="14"/>
    </row>
    <row r="14" spans="1:12" ht="14.4" x14ac:dyDescent="0.3">
      <c r="A14" s="354"/>
      <c r="B14" s="13" t="s">
        <v>363</v>
      </c>
      <c r="C14" s="13">
        <v>3380</v>
      </c>
      <c r="D14" s="346">
        <f>D3-3.4</f>
        <v>216.6</v>
      </c>
      <c r="E14" s="332"/>
      <c r="F14" s="330"/>
      <c r="G14" s="13">
        <f>D5*2</f>
        <v>2</v>
      </c>
      <c r="H14" s="13">
        <v>90</v>
      </c>
      <c r="I14" s="13"/>
      <c r="J14" s="13"/>
      <c r="K14" s="14"/>
    </row>
    <row r="15" spans="1:12" ht="14.4" x14ac:dyDescent="0.3">
      <c r="A15" s="354"/>
      <c r="B15" s="13" t="s">
        <v>279</v>
      </c>
      <c r="C15" s="13">
        <v>3380</v>
      </c>
      <c r="D15" s="346">
        <f>D3-3.4</f>
        <v>216.6</v>
      </c>
      <c r="E15" s="332"/>
      <c r="F15" s="330"/>
      <c r="G15" s="13">
        <f>D5*2</f>
        <v>2</v>
      </c>
      <c r="H15" s="13">
        <v>90</v>
      </c>
      <c r="I15" s="13"/>
      <c r="J15" s="13"/>
      <c r="K15" s="14"/>
    </row>
    <row r="16" spans="1:12" ht="14.4" x14ac:dyDescent="0.3">
      <c r="A16" s="354"/>
      <c r="B16" s="13" t="s">
        <v>347</v>
      </c>
      <c r="C16" s="13">
        <v>3202</v>
      </c>
      <c r="D16" s="346">
        <f>D4/2-0.8</f>
        <v>99.2</v>
      </c>
      <c r="E16" s="332"/>
      <c r="F16" s="330"/>
      <c r="G16" s="13">
        <f>D5*1</f>
        <v>1</v>
      </c>
      <c r="H16" s="13">
        <v>90</v>
      </c>
      <c r="I16" s="13"/>
      <c r="J16" s="13"/>
      <c r="K16" s="14"/>
    </row>
    <row r="17" spans="1:14" ht="14.4" x14ac:dyDescent="0.3">
      <c r="A17" s="354"/>
      <c r="B17" s="13" t="s">
        <v>346</v>
      </c>
      <c r="C17" s="15">
        <v>3202</v>
      </c>
      <c r="D17" s="346">
        <f>D4/2-1.2</f>
        <v>98.8</v>
      </c>
      <c r="E17" s="332"/>
      <c r="F17" s="330"/>
      <c r="G17" s="13">
        <f>D5*1</f>
        <v>1</v>
      </c>
      <c r="H17" s="13">
        <v>90</v>
      </c>
      <c r="I17" s="15"/>
      <c r="J17" s="13"/>
      <c r="K17" s="14"/>
    </row>
    <row r="18" spans="1:14" ht="14.4" x14ac:dyDescent="0.3">
      <c r="A18" s="354"/>
      <c r="B18" s="13" t="s">
        <v>340</v>
      </c>
      <c r="C18" s="15">
        <v>3528</v>
      </c>
      <c r="D18" s="346">
        <f>D4/2-0.8</f>
        <v>99.2</v>
      </c>
      <c r="E18" s="332"/>
      <c r="F18" s="330"/>
      <c r="G18" s="13">
        <f>D5*1</f>
        <v>1</v>
      </c>
      <c r="H18" s="13">
        <v>90</v>
      </c>
      <c r="I18" s="214"/>
      <c r="J18" s="76"/>
      <c r="K18" s="215"/>
    </row>
    <row r="19" spans="1:14" ht="14.4" x14ac:dyDescent="0.3">
      <c r="A19" s="342"/>
      <c r="B19" s="13" t="s">
        <v>339</v>
      </c>
      <c r="C19" s="15">
        <v>3404</v>
      </c>
      <c r="D19" s="346">
        <f>D4/2-1.2</f>
        <v>98.8</v>
      </c>
      <c r="E19" s="332"/>
      <c r="F19" s="330"/>
      <c r="G19" s="13">
        <f>D5*1</f>
        <v>1</v>
      </c>
      <c r="H19" s="13">
        <v>90</v>
      </c>
      <c r="I19" s="214"/>
      <c r="J19" s="76"/>
      <c r="K19" s="215"/>
    </row>
    <row r="20" spans="1:14" ht="16.5" customHeight="1" x14ac:dyDescent="0.3">
      <c r="A20" s="355" t="s">
        <v>39</v>
      </c>
      <c r="B20" s="359" t="s">
        <v>341</v>
      </c>
      <c r="C20" s="341"/>
      <c r="D20" s="16" t="s">
        <v>3</v>
      </c>
      <c r="E20" s="329" t="s">
        <v>41</v>
      </c>
      <c r="F20" s="330"/>
      <c r="G20" s="17"/>
      <c r="H20" s="18"/>
      <c r="I20" s="2"/>
      <c r="J20" s="2"/>
      <c r="K20" s="2"/>
    </row>
    <row r="21" spans="1:14" ht="15.75" customHeight="1" x14ac:dyDescent="0.3">
      <c r="A21" s="354"/>
      <c r="B21" s="354"/>
      <c r="C21" s="354"/>
      <c r="D21" s="528">
        <f>D3-7.6</f>
        <v>212.4</v>
      </c>
      <c r="E21" s="529">
        <f>D4/2-5.8</f>
        <v>94.2</v>
      </c>
      <c r="F21" s="336"/>
      <c r="G21" s="485">
        <f>D5*1</f>
        <v>1</v>
      </c>
      <c r="H21" s="485" t="s">
        <v>159</v>
      </c>
      <c r="I21" s="10"/>
      <c r="M21" s="2"/>
      <c r="N21" s="2"/>
    </row>
    <row r="22" spans="1:14" ht="15.75" customHeight="1" x14ac:dyDescent="0.3">
      <c r="A22" s="342"/>
      <c r="B22" s="354"/>
      <c r="C22" s="354"/>
      <c r="D22" s="342"/>
      <c r="E22" s="337"/>
      <c r="F22" s="339"/>
      <c r="G22" s="342"/>
      <c r="H22" s="342"/>
      <c r="I22" s="10"/>
      <c r="M22" s="2"/>
      <c r="N22" s="2"/>
    </row>
    <row r="23" spans="1:14" ht="15.75" customHeight="1" x14ac:dyDescent="0.3">
      <c r="A23" s="216"/>
      <c r="B23" s="354"/>
      <c r="C23" s="354"/>
      <c r="D23" s="528">
        <f>D3-7.6</f>
        <v>212.4</v>
      </c>
      <c r="E23" s="529">
        <f>D4/2-6.2</f>
        <v>93.8</v>
      </c>
      <c r="F23" s="336"/>
      <c r="G23" s="485">
        <f>D5*1</f>
        <v>1</v>
      </c>
      <c r="H23" s="485" t="s">
        <v>280</v>
      </c>
      <c r="I23" s="10"/>
      <c r="M23" s="2"/>
      <c r="N23" s="2"/>
    </row>
    <row r="24" spans="1:14" ht="15.75" customHeight="1" x14ac:dyDescent="0.3">
      <c r="A24" s="216"/>
      <c r="B24" s="342"/>
      <c r="C24" s="342"/>
      <c r="D24" s="342"/>
      <c r="E24" s="337"/>
      <c r="F24" s="339"/>
      <c r="G24" s="342"/>
      <c r="H24" s="342"/>
      <c r="I24" s="10"/>
      <c r="M24" s="2"/>
      <c r="N24" s="2"/>
    </row>
    <row r="25" spans="1:14" ht="15.75" customHeight="1" x14ac:dyDescent="0.3">
      <c r="A25" s="20" t="s">
        <v>42</v>
      </c>
      <c r="B25" s="13"/>
      <c r="C25" s="21"/>
      <c r="D25" s="356"/>
      <c r="E25" s="332"/>
      <c r="F25" s="330"/>
      <c r="G25" s="13">
        <f>(D21*4)+(E21*4)*D5</f>
        <v>1226.4000000000001</v>
      </c>
      <c r="H25" s="13" t="s">
        <v>43</v>
      </c>
      <c r="I25" s="10"/>
      <c r="M25" s="2"/>
      <c r="N25" s="2"/>
    </row>
    <row r="26" spans="1:14" ht="15.75" customHeight="1" x14ac:dyDescent="0.3">
      <c r="A26" s="20" t="s">
        <v>44</v>
      </c>
      <c r="B26" s="13" t="s">
        <v>45</v>
      </c>
      <c r="C26" s="13"/>
      <c r="D26" s="333"/>
      <c r="E26" s="332"/>
      <c r="F26" s="330"/>
      <c r="G26" s="13">
        <f>D5*8</f>
        <v>8</v>
      </c>
      <c r="H26" s="13"/>
      <c r="I26" s="352"/>
      <c r="J26" s="2"/>
      <c r="K26" s="2"/>
      <c r="L26" s="2"/>
      <c r="M26" s="2"/>
      <c r="N26" s="2"/>
    </row>
    <row r="27" spans="1:14" ht="15.75" customHeight="1" x14ac:dyDescent="0.3">
      <c r="A27" s="20"/>
      <c r="B27" s="13" t="s">
        <v>46</v>
      </c>
      <c r="C27" s="13"/>
      <c r="D27" s="23"/>
      <c r="E27" s="23"/>
      <c r="F27" s="24"/>
      <c r="G27" s="24">
        <f>D5*8</f>
        <v>8</v>
      </c>
      <c r="H27" s="13"/>
      <c r="I27" s="327"/>
      <c r="J27" s="2"/>
      <c r="K27" s="2"/>
      <c r="L27" s="2"/>
      <c r="M27" s="2"/>
      <c r="N27" s="2"/>
    </row>
    <row r="28" spans="1:14" ht="15.75" customHeight="1" x14ac:dyDescent="0.3">
      <c r="A28" s="20"/>
      <c r="B28" s="13" t="s">
        <v>47</v>
      </c>
      <c r="C28" s="13"/>
      <c r="D28" s="22"/>
      <c r="E28" s="25"/>
      <c r="F28" s="24"/>
      <c r="G28" s="24">
        <f>D5*4</f>
        <v>4</v>
      </c>
      <c r="H28" s="13"/>
      <c r="I28" s="327"/>
      <c r="J28" s="2"/>
      <c r="K28" s="2"/>
      <c r="L28" s="2"/>
      <c r="M28" s="2"/>
      <c r="N28" s="2"/>
    </row>
    <row r="29" spans="1:14" ht="15.75" customHeight="1" x14ac:dyDescent="0.3">
      <c r="A29" s="20" t="s">
        <v>48</v>
      </c>
      <c r="B29" s="26" t="s">
        <v>49</v>
      </c>
      <c r="C29" s="13"/>
      <c r="D29" s="27"/>
      <c r="E29" s="23"/>
      <c r="F29" s="28"/>
      <c r="G29" s="24">
        <f>D5*2</f>
        <v>2</v>
      </c>
      <c r="H29" s="13"/>
      <c r="I29" s="10"/>
      <c r="J29" s="2"/>
      <c r="K29" s="29"/>
      <c r="L29" s="2"/>
      <c r="M29" s="2"/>
      <c r="N29" s="2"/>
    </row>
    <row r="30" spans="1:14" ht="15.75" customHeight="1" x14ac:dyDescent="0.3">
      <c r="A30" s="20" t="s">
        <v>50</v>
      </c>
      <c r="B30" s="13" t="s">
        <v>51</v>
      </c>
      <c r="C30" s="13" t="s">
        <v>364</v>
      </c>
      <c r="D30" s="340"/>
      <c r="E30" s="332"/>
      <c r="F30" s="330"/>
      <c r="G30" s="24">
        <f>D5*2</f>
        <v>2</v>
      </c>
      <c r="H30" s="13"/>
      <c r="I30" s="10"/>
      <c r="J30" s="2"/>
      <c r="K30" s="2"/>
      <c r="L30" s="2"/>
      <c r="M30" s="2"/>
      <c r="N30" s="2"/>
    </row>
    <row r="31" spans="1:14" ht="15.75" customHeight="1" x14ac:dyDescent="0.3">
      <c r="A31" s="20" t="s">
        <v>52</v>
      </c>
      <c r="B31" s="30">
        <v>0.25</v>
      </c>
      <c r="C31" s="13"/>
      <c r="D31" s="22"/>
      <c r="E31" s="25"/>
      <c r="F31" s="24"/>
      <c r="G31" s="24">
        <f>D5*4</f>
        <v>4</v>
      </c>
      <c r="H31" s="13"/>
      <c r="I31" s="10"/>
      <c r="J31" s="2"/>
      <c r="K31" s="2"/>
      <c r="L31" s="2"/>
      <c r="M31" s="2"/>
      <c r="N31" s="2"/>
    </row>
    <row r="32" spans="1:14" ht="15.75" customHeight="1" x14ac:dyDescent="0.3">
      <c r="A32" s="20"/>
      <c r="B32" s="13"/>
      <c r="C32" s="13"/>
      <c r="D32" s="333"/>
      <c r="E32" s="332"/>
      <c r="F32" s="330"/>
      <c r="G32" s="24">
        <f>D5*4</f>
        <v>4</v>
      </c>
      <c r="H32" s="13"/>
      <c r="I32" s="10"/>
      <c r="J32" s="2"/>
      <c r="K32" s="2"/>
      <c r="L32" s="2"/>
      <c r="M32" s="2"/>
      <c r="N32" s="2"/>
    </row>
    <row r="33" spans="1:17" ht="15.75" customHeight="1" x14ac:dyDescent="0.3">
      <c r="A33" s="20" t="s">
        <v>54</v>
      </c>
      <c r="B33" s="13" t="s">
        <v>343</v>
      </c>
      <c r="C33" s="13"/>
      <c r="D33" s="333"/>
      <c r="E33" s="332"/>
      <c r="F33" s="330"/>
      <c r="G33" s="24">
        <f>D5*1</f>
        <v>1</v>
      </c>
      <c r="H33" s="13"/>
      <c r="I33" s="10"/>
      <c r="J33" s="2"/>
      <c r="K33" s="2"/>
      <c r="O33" s="2"/>
      <c r="P33" s="2"/>
      <c r="Q33" s="2"/>
    </row>
    <row r="34" spans="1:17" ht="15.75" customHeight="1" x14ac:dyDescent="0.3">
      <c r="A34" s="331" t="s">
        <v>56</v>
      </c>
      <c r="B34" s="330"/>
      <c r="C34" s="331"/>
      <c r="D34" s="332"/>
      <c r="E34" s="332"/>
      <c r="F34" s="332"/>
      <c r="G34" s="332"/>
      <c r="H34" s="330"/>
      <c r="I34" s="10"/>
      <c r="J34" s="2"/>
      <c r="K34" s="2"/>
    </row>
    <row r="35" spans="1:17" ht="15.75" customHeight="1" x14ac:dyDescent="0.3">
      <c r="A35" s="331" t="s">
        <v>57</v>
      </c>
      <c r="B35" s="330"/>
      <c r="C35" s="331"/>
      <c r="D35" s="332"/>
      <c r="E35" s="332"/>
      <c r="F35" s="332"/>
      <c r="G35" s="332"/>
      <c r="H35" s="330"/>
      <c r="I35" s="10"/>
      <c r="J35" s="2"/>
      <c r="K35" s="2"/>
    </row>
    <row r="36" spans="1:17" ht="15.75" customHeight="1" x14ac:dyDescent="0.3">
      <c r="A36" s="334" t="s">
        <v>58</v>
      </c>
      <c r="B36" s="335"/>
      <c r="C36" s="335"/>
      <c r="D36" s="335"/>
      <c r="E36" s="336"/>
      <c r="F36" s="331"/>
      <c r="G36" s="332"/>
      <c r="H36" s="330"/>
      <c r="I36" s="10"/>
      <c r="J36" s="2"/>
      <c r="K36" s="2"/>
    </row>
    <row r="37" spans="1:17" ht="15.75" customHeight="1" x14ac:dyDescent="0.3">
      <c r="A37" s="337"/>
      <c r="B37" s="338"/>
      <c r="C37" s="338"/>
      <c r="D37" s="338"/>
      <c r="E37" s="339"/>
      <c r="F37" s="331" t="s">
        <v>59</v>
      </c>
      <c r="G37" s="332"/>
      <c r="H37" s="330"/>
      <c r="I37" s="10"/>
      <c r="J37" s="2"/>
      <c r="K37" s="2"/>
    </row>
    <row r="38" spans="1:17" ht="15.75" customHeight="1" x14ac:dyDescent="0.3">
      <c r="A38" s="31"/>
      <c r="B38" s="32"/>
      <c r="C38" s="33"/>
      <c r="D38" s="32"/>
      <c r="E38" s="32"/>
      <c r="F38" s="32"/>
      <c r="G38" s="32"/>
      <c r="H38" s="32"/>
      <c r="I38" s="34"/>
      <c r="J38" s="2"/>
      <c r="K38" s="2"/>
    </row>
    <row r="39" spans="1:17" ht="15.75" customHeight="1" x14ac:dyDescent="0.3">
      <c r="A39" s="31"/>
      <c r="B39" s="32"/>
      <c r="C39" s="32"/>
      <c r="D39" s="32"/>
      <c r="E39" s="32"/>
      <c r="F39" s="326"/>
      <c r="G39" s="32"/>
      <c r="H39" s="32"/>
      <c r="I39" s="34"/>
      <c r="J39" s="2"/>
      <c r="K39" s="2"/>
    </row>
    <row r="40" spans="1:17" ht="15.75" customHeight="1" x14ac:dyDescent="0.3">
      <c r="A40" s="31"/>
      <c r="B40" s="32"/>
      <c r="C40" s="32"/>
      <c r="D40" s="32"/>
      <c r="E40" s="32"/>
      <c r="F40" s="327"/>
      <c r="G40" s="32"/>
      <c r="H40" s="32"/>
      <c r="I40" s="34"/>
      <c r="J40" s="2"/>
      <c r="K40" s="2"/>
    </row>
    <row r="41" spans="1:17" ht="15.75" customHeight="1" x14ac:dyDescent="0.3">
      <c r="A41" s="31"/>
      <c r="B41" s="32"/>
      <c r="C41" s="32"/>
      <c r="D41" s="32"/>
      <c r="E41" s="32"/>
      <c r="F41" s="327"/>
      <c r="G41" s="32"/>
      <c r="H41" s="32"/>
      <c r="I41" s="34"/>
      <c r="J41" s="2"/>
      <c r="K41" s="2"/>
    </row>
    <row r="42" spans="1:17" ht="15.75" customHeight="1" x14ac:dyDescent="0.4">
      <c r="A42" s="31"/>
      <c r="B42" s="32"/>
      <c r="C42" s="32"/>
      <c r="D42" s="32"/>
      <c r="E42" s="35"/>
      <c r="F42" s="327"/>
      <c r="G42" s="32"/>
      <c r="H42" s="32"/>
      <c r="I42" s="34"/>
      <c r="J42" s="2"/>
      <c r="K42" s="2"/>
    </row>
    <row r="43" spans="1:17" ht="15.75" customHeight="1" x14ac:dyDescent="0.3">
      <c r="A43" s="36"/>
      <c r="B43" s="32"/>
      <c r="C43" s="32"/>
      <c r="D43" s="32"/>
      <c r="E43" s="32"/>
      <c r="F43" s="327"/>
      <c r="G43" s="32"/>
      <c r="H43" s="32"/>
      <c r="I43" s="34"/>
      <c r="J43" s="2"/>
      <c r="K43" s="2"/>
    </row>
    <row r="44" spans="1:17" ht="15.75" customHeight="1" x14ac:dyDescent="0.3">
      <c r="A44" s="31"/>
      <c r="B44" s="32"/>
      <c r="C44" s="32"/>
      <c r="D44" s="32"/>
      <c r="E44" s="32"/>
      <c r="F44" s="327"/>
      <c r="G44" s="32"/>
      <c r="H44" s="32"/>
      <c r="I44" s="34"/>
      <c r="J44" s="2"/>
      <c r="K44" s="2"/>
    </row>
    <row r="45" spans="1:17" ht="15.75" customHeight="1" x14ac:dyDescent="0.3">
      <c r="A45" s="31"/>
      <c r="B45" s="32"/>
      <c r="C45" s="32"/>
      <c r="D45" s="32"/>
      <c r="E45" s="32"/>
      <c r="F45" s="327"/>
      <c r="G45" s="32"/>
      <c r="H45" s="32"/>
      <c r="I45" s="34"/>
      <c r="J45" s="2"/>
      <c r="K45" s="2"/>
    </row>
    <row r="46" spans="1:17" ht="15.75" customHeight="1" x14ac:dyDescent="0.3">
      <c r="A46" s="31"/>
      <c r="B46" s="32"/>
      <c r="C46" s="32"/>
      <c r="D46" s="32"/>
      <c r="E46" s="32"/>
      <c r="F46" s="327"/>
      <c r="G46" s="32"/>
      <c r="H46" s="32"/>
      <c r="I46" s="34"/>
      <c r="J46" s="2"/>
      <c r="K46" s="2"/>
    </row>
    <row r="47" spans="1:17" ht="15.75" customHeight="1" x14ac:dyDescent="0.3">
      <c r="A47" s="31"/>
      <c r="B47" s="32"/>
      <c r="C47" s="32"/>
      <c r="D47" s="32"/>
      <c r="E47" s="32"/>
      <c r="F47" s="327"/>
      <c r="G47" s="32"/>
      <c r="H47" s="32"/>
      <c r="I47" s="34"/>
      <c r="J47" s="2"/>
      <c r="K47" s="2"/>
    </row>
    <row r="48" spans="1:17" ht="15.75" customHeight="1" x14ac:dyDescent="0.3">
      <c r="A48" s="31"/>
      <c r="B48" s="32"/>
      <c r="C48" s="32"/>
      <c r="D48" s="32"/>
      <c r="E48" s="32"/>
      <c r="F48" s="327"/>
      <c r="G48" s="32"/>
      <c r="H48" s="32"/>
      <c r="I48" s="34"/>
      <c r="J48" s="2"/>
      <c r="K48" s="2"/>
    </row>
    <row r="49" spans="1:11" ht="15.75" customHeight="1" x14ac:dyDescent="0.4">
      <c r="A49" s="31"/>
      <c r="B49" s="328"/>
      <c r="C49" s="327"/>
      <c r="D49" s="327"/>
      <c r="E49" s="32"/>
      <c r="F49" s="2"/>
      <c r="G49" s="32"/>
      <c r="H49" s="32"/>
      <c r="I49" s="34"/>
      <c r="J49" s="2"/>
      <c r="K49" s="2"/>
    </row>
    <row r="50" spans="1:11" ht="15.75" customHeight="1" x14ac:dyDescent="0.3">
      <c r="A50" s="31"/>
      <c r="B50" s="32"/>
      <c r="C50" s="33"/>
      <c r="D50" s="32"/>
      <c r="E50" s="32"/>
      <c r="F50" s="32"/>
      <c r="G50" s="32"/>
      <c r="H50" s="32"/>
      <c r="I50" s="34"/>
      <c r="J50" s="2"/>
      <c r="K50" s="2"/>
    </row>
    <row r="51" spans="1:11" ht="15.75" customHeight="1" x14ac:dyDescent="0.3"/>
    <row r="52" spans="1:11" ht="15.75" customHeight="1" x14ac:dyDescent="0.3"/>
    <row r="53" spans="1:11" ht="15.75" customHeight="1" x14ac:dyDescent="0.3"/>
    <row r="54" spans="1:11" ht="15.75" customHeight="1" x14ac:dyDescent="0.3"/>
    <row r="55" spans="1:11" ht="15.75" customHeight="1" x14ac:dyDescent="0.3"/>
    <row r="56" spans="1:11" ht="15.75" customHeight="1" x14ac:dyDescent="0.3"/>
    <row r="57" spans="1:11" ht="15.75" customHeight="1" x14ac:dyDescent="0.3"/>
    <row r="58" spans="1:11" ht="15.75" customHeight="1" x14ac:dyDescent="0.3"/>
    <row r="59" spans="1:11" ht="15.75" customHeight="1" x14ac:dyDescent="0.3"/>
    <row r="60" spans="1:11" ht="15.75" customHeight="1" x14ac:dyDescent="0.3"/>
    <row r="61" spans="1:11" ht="15.75" customHeight="1" x14ac:dyDescent="0.3"/>
    <row r="62" spans="1:11" ht="15.75" customHeight="1" x14ac:dyDescent="0.3"/>
    <row r="63" spans="1:11" ht="15.75" customHeight="1" x14ac:dyDescent="0.3"/>
    <row r="64" spans="1:11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</sheetData>
  <mergeCells count="57">
    <mergeCell ref="A2:H2"/>
    <mergeCell ref="A1:H1"/>
    <mergeCell ref="A5:C5"/>
    <mergeCell ref="I26:I28"/>
    <mergeCell ref="A3:C3"/>
    <mergeCell ref="A4:C4"/>
    <mergeCell ref="E5:H5"/>
    <mergeCell ref="C6:H6"/>
    <mergeCell ref="C7:H7"/>
    <mergeCell ref="E4:H4"/>
    <mergeCell ref="E3:H3"/>
    <mergeCell ref="D16:F16"/>
    <mergeCell ref="D17:F17"/>
    <mergeCell ref="D18:F18"/>
    <mergeCell ref="D19:F19"/>
    <mergeCell ref="H21:H22"/>
    <mergeCell ref="C35:H35"/>
    <mergeCell ref="A35:B35"/>
    <mergeCell ref="A36:E37"/>
    <mergeCell ref="F39:F48"/>
    <mergeCell ref="B49:D49"/>
    <mergeCell ref="F37:H37"/>
    <mergeCell ref="F36:H36"/>
    <mergeCell ref="D33:F33"/>
    <mergeCell ref="C34:H34"/>
    <mergeCell ref="A34:B34"/>
    <mergeCell ref="D26:F26"/>
    <mergeCell ref="D25:F25"/>
    <mergeCell ref="D32:F32"/>
    <mergeCell ref="D30:F30"/>
    <mergeCell ref="H23:H24"/>
    <mergeCell ref="G21:G22"/>
    <mergeCell ref="G23:G24"/>
    <mergeCell ref="E20:F20"/>
    <mergeCell ref="D23:D24"/>
    <mergeCell ref="D21:D22"/>
    <mergeCell ref="E21:F22"/>
    <mergeCell ref="E23:F24"/>
    <mergeCell ref="I8:K8"/>
    <mergeCell ref="D14:F14"/>
    <mergeCell ref="D15:F15"/>
    <mergeCell ref="D11:F11"/>
    <mergeCell ref="D10:F10"/>
    <mergeCell ref="D13:F13"/>
    <mergeCell ref="H8:H9"/>
    <mergeCell ref="D12:F12"/>
    <mergeCell ref="A8:B9"/>
    <mergeCell ref="A7:B7"/>
    <mergeCell ref="A6:B6"/>
    <mergeCell ref="C8:C9"/>
    <mergeCell ref="G8:G9"/>
    <mergeCell ref="D8:F9"/>
    <mergeCell ref="A13:A19"/>
    <mergeCell ref="A10:A12"/>
    <mergeCell ref="C20:C24"/>
    <mergeCell ref="B20:B24"/>
    <mergeCell ref="A20:A22"/>
  </mergeCell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Views>
    <sheetView workbookViewId="0"/>
  </sheetViews>
  <sheetFormatPr baseColWidth="10" defaultColWidth="14.44140625" defaultRowHeight="15" customHeight="1" x14ac:dyDescent="0.3"/>
  <cols>
    <col min="1" max="2" width="29.6640625" customWidth="1"/>
    <col min="3" max="3" width="14.44140625" customWidth="1"/>
    <col min="4" max="4" width="7.33203125" customWidth="1"/>
    <col min="5" max="5" width="7.44140625" customWidth="1"/>
    <col min="6" max="6" width="7.5546875" customWidth="1"/>
    <col min="7" max="7" width="20.88671875" customWidth="1"/>
  </cols>
  <sheetData>
    <row r="1" spans="1:7" ht="23.4" x14ac:dyDescent="0.45">
      <c r="A1" s="124" t="s">
        <v>365</v>
      </c>
      <c r="B1" s="145"/>
      <c r="C1" s="145"/>
      <c r="D1" s="145"/>
      <c r="E1" s="145"/>
      <c r="F1" s="145"/>
      <c r="G1" s="145"/>
    </row>
    <row r="2" spans="1:7" ht="21" x14ac:dyDescent="0.4">
      <c r="A2" s="343" t="s">
        <v>366</v>
      </c>
      <c r="B2" s="332"/>
      <c r="C2" s="332"/>
      <c r="D2" s="332"/>
      <c r="E2" s="332"/>
      <c r="F2" s="332"/>
      <c r="G2" s="330"/>
    </row>
    <row r="3" spans="1:7" ht="21" x14ac:dyDescent="0.4">
      <c r="A3" s="345" t="s">
        <v>3</v>
      </c>
      <c r="B3" s="330"/>
      <c r="C3" s="155">
        <v>100</v>
      </c>
      <c r="D3" s="489" t="s">
        <v>4</v>
      </c>
      <c r="E3" s="332"/>
      <c r="F3" s="332"/>
      <c r="G3" s="330"/>
    </row>
    <row r="4" spans="1:7" ht="21" x14ac:dyDescent="0.4">
      <c r="A4" s="347" t="s">
        <v>6</v>
      </c>
      <c r="B4" s="330"/>
      <c r="C4" s="155">
        <v>50</v>
      </c>
      <c r="D4" s="489" t="s">
        <v>4</v>
      </c>
      <c r="E4" s="332"/>
      <c r="F4" s="332"/>
      <c r="G4" s="330"/>
    </row>
    <row r="5" spans="1:7" ht="21" x14ac:dyDescent="0.4">
      <c r="A5" s="347" t="s">
        <v>7</v>
      </c>
      <c r="B5" s="330"/>
      <c r="C5" s="155">
        <v>1</v>
      </c>
      <c r="D5" s="167"/>
      <c r="E5" s="167"/>
      <c r="F5" s="167"/>
      <c r="G5" s="167"/>
    </row>
    <row r="6" spans="1:7" ht="21" x14ac:dyDescent="0.4">
      <c r="A6" s="345" t="s">
        <v>72</v>
      </c>
      <c r="B6" s="330"/>
      <c r="C6" s="489" t="s">
        <v>367</v>
      </c>
      <c r="D6" s="332"/>
      <c r="E6" s="332"/>
      <c r="F6" s="332"/>
      <c r="G6" s="330"/>
    </row>
    <row r="7" spans="1:7" ht="21" x14ac:dyDescent="0.4">
      <c r="A7" s="345" t="s">
        <v>9</v>
      </c>
      <c r="B7" s="330"/>
      <c r="C7" s="345" t="s">
        <v>368</v>
      </c>
      <c r="D7" s="332"/>
      <c r="E7" s="332"/>
      <c r="F7" s="332"/>
      <c r="G7" s="330"/>
    </row>
    <row r="8" spans="1:7" ht="15" customHeight="1" x14ac:dyDescent="0.3">
      <c r="A8" s="350" t="s">
        <v>10</v>
      </c>
      <c r="B8" s="336"/>
      <c r="C8" s="353" t="s">
        <v>11</v>
      </c>
      <c r="D8" s="616" t="s">
        <v>226</v>
      </c>
      <c r="E8" s="336"/>
      <c r="F8" s="363" t="s">
        <v>13</v>
      </c>
      <c r="G8" s="617" t="s">
        <v>14</v>
      </c>
    </row>
    <row r="9" spans="1:7" ht="14.4" x14ac:dyDescent="0.3">
      <c r="A9" s="337"/>
      <c r="B9" s="339"/>
      <c r="C9" s="342"/>
      <c r="D9" s="337"/>
      <c r="E9" s="339"/>
      <c r="F9" s="342"/>
      <c r="G9" s="342"/>
    </row>
    <row r="10" spans="1:7" ht="15" customHeight="1" x14ac:dyDescent="0.3">
      <c r="A10" s="643" t="s">
        <v>19</v>
      </c>
      <c r="B10" s="363" t="s">
        <v>369</v>
      </c>
      <c r="C10" s="642">
        <v>3596</v>
      </c>
      <c r="D10" s="694">
        <f>C4</f>
        <v>50</v>
      </c>
      <c r="E10" s="336"/>
      <c r="F10" s="612">
        <f>C5*2</f>
        <v>2</v>
      </c>
      <c r="G10" s="363">
        <v>45</v>
      </c>
    </row>
    <row r="11" spans="1:7" ht="15" customHeight="1" x14ac:dyDescent="0.3">
      <c r="A11" s="354"/>
      <c r="B11" s="354"/>
      <c r="C11" s="354"/>
      <c r="D11" s="337"/>
      <c r="E11" s="339"/>
      <c r="F11" s="342"/>
      <c r="G11" s="354"/>
    </row>
    <row r="12" spans="1:7" ht="15" customHeight="1" x14ac:dyDescent="0.3">
      <c r="A12" s="354"/>
      <c r="B12" s="362" t="s">
        <v>370</v>
      </c>
      <c r="C12" s="696">
        <v>3596</v>
      </c>
      <c r="D12" s="694">
        <f>C3</f>
        <v>100</v>
      </c>
      <c r="E12" s="336"/>
      <c r="F12" s="612">
        <f>C5*2</f>
        <v>2</v>
      </c>
      <c r="G12" s="354"/>
    </row>
    <row r="13" spans="1:7" ht="15" customHeight="1" x14ac:dyDescent="0.3">
      <c r="A13" s="342"/>
      <c r="B13" s="342"/>
      <c r="C13" s="339"/>
      <c r="D13" s="337"/>
      <c r="E13" s="339"/>
      <c r="F13" s="342"/>
      <c r="G13" s="342"/>
    </row>
    <row r="14" spans="1:7" ht="25.5" customHeight="1" x14ac:dyDescent="0.25">
      <c r="A14" s="349" t="s">
        <v>230</v>
      </c>
      <c r="B14" s="134"/>
      <c r="C14" s="132"/>
      <c r="D14" s="346"/>
      <c r="E14" s="330"/>
      <c r="F14" s="13"/>
      <c r="G14" s="61"/>
    </row>
    <row r="15" spans="1:7" ht="25.5" customHeight="1" x14ac:dyDescent="0.3">
      <c r="A15" s="354"/>
      <c r="B15" s="134" t="s">
        <v>371</v>
      </c>
      <c r="C15" s="132">
        <v>3602</v>
      </c>
      <c r="D15" s="641">
        <f t="shared" ref="D15:D16" si="0">C3-4.1</f>
        <v>95.9</v>
      </c>
      <c r="E15" s="330"/>
      <c r="F15" s="13">
        <f>C5*2</f>
        <v>2</v>
      </c>
      <c r="G15" s="642">
        <v>45</v>
      </c>
    </row>
    <row r="16" spans="1:7" ht="24.75" customHeight="1" x14ac:dyDescent="0.25">
      <c r="A16" s="342"/>
      <c r="B16" s="134" t="s">
        <v>234</v>
      </c>
      <c r="C16" s="13">
        <v>3602</v>
      </c>
      <c r="D16" s="346">
        <f t="shared" si="0"/>
        <v>45.9</v>
      </c>
      <c r="E16" s="330"/>
      <c r="F16" s="13">
        <f>C5*2</f>
        <v>2</v>
      </c>
      <c r="G16" s="342"/>
    </row>
    <row r="17" spans="1:7" ht="25.5" customHeight="1" x14ac:dyDescent="0.25">
      <c r="A17" s="349" t="s">
        <v>181</v>
      </c>
      <c r="B17" s="61"/>
      <c r="C17" s="612">
        <v>3599</v>
      </c>
      <c r="D17" s="346"/>
      <c r="E17" s="330"/>
      <c r="F17" s="13"/>
      <c r="G17" s="61"/>
    </row>
    <row r="18" spans="1:7" ht="15" customHeight="1" x14ac:dyDescent="0.25">
      <c r="A18" s="354"/>
      <c r="B18" s="61"/>
      <c r="C18" s="354"/>
      <c r="D18" s="346"/>
      <c r="E18" s="330"/>
      <c r="F18" s="13"/>
      <c r="G18" s="61"/>
    </row>
    <row r="19" spans="1:7" ht="14.4" x14ac:dyDescent="0.25">
      <c r="A19" s="354"/>
      <c r="B19" s="218" t="s">
        <v>237</v>
      </c>
      <c r="C19" s="354"/>
      <c r="D19" s="346">
        <f>D16:E16-14</f>
        <v>31.9</v>
      </c>
      <c r="E19" s="330"/>
      <c r="F19" s="13">
        <f>C5*2</f>
        <v>2</v>
      </c>
      <c r="G19" s="61">
        <v>90</v>
      </c>
    </row>
    <row r="20" spans="1:7" ht="15" customHeight="1" x14ac:dyDescent="0.25">
      <c r="A20" s="342"/>
      <c r="B20" s="218" t="s">
        <v>238</v>
      </c>
      <c r="C20" s="354"/>
      <c r="D20" s="346">
        <f>C3-22.1</f>
        <v>77.900000000000006</v>
      </c>
      <c r="E20" s="330"/>
      <c r="F20" s="13">
        <f>C5*2</f>
        <v>2</v>
      </c>
      <c r="G20" s="61">
        <v>90</v>
      </c>
    </row>
    <row r="21" spans="1:7" ht="15.75" customHeight="1" x14ac:dyDescent="0.25">
      <c r="A21" s="630" t="s">
        <v>184</v>
      </c>
      <c r="B21" s="13"/>
      <c r="C21" s="13" t="s">
        <v>3</v>
      </c>
      <c r="D21" s="628" t="s">
        <v>6</v>
      </c>
      <c r="E21" s="330"/>
      <c r="F21" s="13"/>
      <c r="G21" s="13"/>
    </row>
    <row r="22" spans="1:7" ht="15.75" customHeight="1" x14ac:dyDescent="0.25">
      <c r="A22" s="354"/>
      <c r="B22" s="159" t="s">
        <v>159</v>
      </c>
      <c r="C22" s="162"/>
      <c r="D22" s="629"/>
      <c r="E22" s="330"/>
      <c r="F22" s="159"/>
      <c r="G22" s="363">
        <v>90</v>
      </c>
    </row>
    <row r="23" spans="1:7" ht="15.75" customHeight="1" x14ac:dyDescent="0.25">
      <c r="A23" s="342"/>
      <c r="B23" s="159" t="s">
        <v>230</v>
      </c>
      <c r="C23" s="163">
        <f>C3-19</f>
        <v>81</v>
      </c>
      <c r="D23" s="629">
        <f>C4-19</f>
        <v>31</v>
      </c>
      <c r="E23" s="330"/>
      <c r="F23" s="159">
        <f>C5*1</f>
        <v>1</v>
      </c>
      <c r="G23" s="342"/>
    </row>
    <row r="24" spans="1:7" ht="15.75" customHeight="1" x14ac:dyDescent="0.25">
      <c r="A24" s="139" t="s">
        <v>185</v>
      </c>
      <c r="B24" s="219" t="s">
        <v>372</v>
      </c>
      <c r="C24" s="218"/>
      <c r="D24" s="346"/>
      <c r="E24" s="330"/>
      <c r="F24" s="13">
        <f>(C3*2)+(C4*2)*C5</f>
        <v>300</v>
      </c>
      <c r="G24" s="61" t="s">
        <v>43</v>
      </c>
    </row>
    <row r="25" spans="1:7" ht="15.75" customHeight="1" x14ac:dyDescent="0.25">
      <c r="A25" s="374" t="s">
        <v>373</v>
      </c>
      <c r="B25" s="695" t="s">
        <v>374</v>
      </c>
      <c r="C25" s="330"/>
      <c r="D25" s="333"/>
      <c r="E25" s="330"/>
      <c r="F25" s="13">
        <f>C5*4</f>
        <v>4</v>
      </c>
      <c r="G25" s="13"/>
    </row>
    <row r="26" spans="1:7" ht="15.75" customHeight="1" x14ac:dyDescent="0.25">
      <c r="A26" s="354"/>
      <c r="B26" s="695" t="s">
        <v>375</v>
      </c>
      <c r="C26" s="330"/>
      <c r="D26" s="333"/>
      <c r="E26" s="330"/>
      <c r="F26" s="13">
        <f>C5*4</f>
        <v>4</v>
      </c>
      <c r="G26" s="13"/>
    </row>
    <row r="27" spans="1:7" ht="15.75" customHeight="1" x14ac:dyDescent="0.25">
      <c r="A27" s="354"/>
      <c r="B27" s="695" t="s">
        <v>376</v>
      </c>
      <c r="C27" s="330"/>
      <c r="D27" s="333"/>
      <c r="E27" s="330"/>
      <c r="F27" s="13">
        <f>C5*1</f>
        <v>1</v>
      </c>
      <c r="G27" s="13"/>
    </row>
    <row r="28" spans="1:7" ht="15.75" customHeight="1" x14ac:dyDescent="0.25">
      <c r="A28" s="342"/>
      <c r="B28" s="695" t="s">
        <v>195</v>
      </c>
      <c r="C28" s="330"/>
      <c r="D28" s="333"/>
      <c r="E28" s="330"/>
      <c r="F28" s="13">
        <f>C5*2</f>
        <v>2</v>
      </c>
      <c r="G28" s="13"/>
    </row>
    <row r="29" spans="1:7" ht="15.75" customHeight="1" x14ac:dyDescent="0.3">
      <c r="A29" s="140" t="s">
        <v>241</v>
      </c>
      <c r="B29" s="13" t="s">
        <v>377</v>
      </c>
      <c r="C29" s="13"/>
      <c r="D29" s="333"/>
      <c r="E29" s="330"/>
      <c r="F29" s="13">
        <f>C5*1</f>
        <v>1</v>
      </c>
      <c r="G29" s="13"/>
    </row>
    <row r="30" spans="1:7" ht="15.75" customHeight="1" x14ac:dyDescent="0.3">
      <c r="A30" s="140" t="s">
        <v>243</v>
      </c>
      <c r="B30" s="13" t="s">
        <v>378</v>
      </c>
      <c r="C30" s="13"/>
      <c r="D30" s="333"/>
      <c r="E30" s="330"/>
      <c r="F30" s="13">
        <f>C5*1</f>
        <v>1</v>
      </c>
      <c r="G30" s="13"/>
    </row>
    <row r="31" spans="1:7" ht="15.75" customHeight="1" x14ac:dyDescent="0.3">
      <c r="A31" s="141" t="s">
        <v>56</v>
      </c>
      <c r="B31" s="611"/>
      <c r="C31" s="332"/>
      <c r="D31" s="332"/>
      <c r="E31" s="332"/>
      <c r="F31" s="332"/>
      <c r="G31" s="330"/>
    </row>
    <row r="32" spans="1:7" ht="15.75" customHeight="1" x14ac:dyDescent="0.3">
      <c r="A32" s="141" t="s">
        <v>57</v>
      </c>
      <c r="B32" s="611"/>
      <c r="C32" s="332"/>
      <c r="D32" s="332"/>
      <c r="E32" s="332"/>
      <c r="F32" s="332"/>
      <c r="G32" s="330"/>
    </row>
    <row r="33" spans="1:7" ht="15.75" customHeight="1" x14ac:dyDescent="0.3">
      <c r="A33" s="334" t="s">
        <v>58</v>
      </c>
      <c r="B33" s="335"/>
      <c r="C33" s="335"/>
      <c r="D33" s="335"/>
      <c r="E33" s="336"/>
      <c r="F33" s="331"/>
      <c r="G33" s="330"/>
    </row>
    <row r="34" spans="1:7" ht="15.75" customHeight="1" x14ac:dyDescent="0.3">
      <c r="A34" s="337"/>
      <c r="B34" s="338"/>
      <c r="C34" s="338"/>
      <c r="D34" s="338"/>
      <c r="E34" s="339"/>
      <c r="F34" s="331" t="s">
        <v>59</v>
      </c>
      <c r="G34" s="330"/>
    </row>
    <row r="35" spans="1:7" ht="15.75" customHeight="1" x14ac:dyDescent="0.3">
      <c r="A35" s="31"/>
      <c r="B35" s="32"/>
      <c r="C35" s="142"/>
      <c r="D35" s="142"/>
      <c r="E35" s="142"/>
      <c r="F35" s="142"/>
      <c r="G35" s="142"/>
    </row>
    <row r="36" spans="1:7" ht="15.75" customHeight="1" x14ac:dyDescent="0.3">
      <c r="D36" s="56"/>
    </row>
    <row r="37" spans="1:7" ht="15.75" customHeight="1" x14ac:dyDescent="0.3"/>
    <row r="38" spans="1:7" ht="15.75" customHeight="1" x14ac:dyDescent="0.3"/>
    <row r="39" spans="1:7" ht="15.75" customHeight="1" x14ac:dyDescent="0.4">
      <c r="E39" s="328"/>
      <c r="F39" s="327"/>
    </row>
    <row r="40" spans="1:7" ht="15.75" customHeight="1" x14ac:dyDescent="0.3"/>
    <row r="41" spans="1:7" ht="15.75" customHeight="1" x14ac:dyDescent="0.3">
      <c r="G41" s="56"/>
    </row>
    <row r="42" spans="1:7" ht="15.75" customHeight="1" x14ac:dyDescent="0.3"/>
    <row r="43" spans="1:7" ht="15.75" customHeight="1" x14ac:dyDescent="0.3"/>
    <row r="44" spans="1:7" ht="15.75" customHeight="1" x14ac:dyDescent="0.3"/>
    <row r="45" spans="1:7" ht="15.75" customHeight="1" x14ac:dyDescent="0.3"/>
    <row r="46" spans="1:7" ht="15.75" customHeight="1" x14ac:dyDescent="0.4">
      <c r="B46" s="328"/>
      <c r="C46" s="327"/>
      <c r="D46" s="327"/>
      <c r="E46" s="327"/>
    </row>
    <row r="47" spans="1:7" ht="15.75" customHeight="1" x14ac:dyDescent="0.3"/>
    <row r="48" spans="1: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</sheetData>
  <mergeCells count="60">
    <mergeCell ref="F34:G34"/>
    <mergeCell ref="F33:G33"/>
    <mergeCell ref="D29:E29"/>
    <mergeCell ref="E39:F39"/>
    <mergeCell ref="B46:E46"/>
    <mergeCell ref="A33:E34"/>
    <mergeCell ref="B32:G32"/>
    <mergeCell ref="B31:G31"/>
    <mergeCell ref="D30:E30"/>
    <mergeCell ref="G22:G23"/>
    <mergeCell ref="C12:C13"/>
    <mergeCell ref="A14:A16"/>
    <mergeCell ref="B12:B13"/>
    <mergeCell ref="A17:A20"/>
    <mergeCell ref="C17:C20"/>
    <mergeCell ref="D16:E16"/>
    <mergeCell ref="G15:G16"/>
    <mergeCell ref="D14:E14"/>
    <mergeCell ref="D17:E17"/>
    <mergeCell ref="D15:E15"/>
    <mergeCell ref="D18:E18"/>
    <mergeCell ref="D19:E19"/>
    <mergeCell ref="D20:E20"/>
    <mergeCell ref="G10:G13"/>
    <mergeCell ref="A21:A23"/>
    <mergeCell ref="D21:E21"/>
    <mergeCell ref="D24:E24"/>
    <mergeCell ref="D28:E28"/>
    <mergeCell ref="D27:E27"/>
    <mergeCell ref="D26:E26"/>
    <mergeCell ref="D22:E22"/>
    <mergeCell ref="D23:E23"/>
    <mergeCell ref="D25:E25"/>
    <mergeCell ref="B25:C25"/>
    <mergeCell ref="B26:C26"/>
    <mergeCell ref="A25:A28"/>
    <mergeCell ref="B28:C28"/>
    <mergeCell ref="B27:C27"/>
    <mergeCell ref="D10:E11"/>
    <mergeCell ref="F12:F13"/>
    <mergeCell ref="F10:F11"/>
    <mergeCell ref="D12:E13"/>
    <mergeCell ref="A10:A13"/>
    <mergeCell ref="C10:C11"/>
    <mergeCell ref="B10:B11"/>
    <mergeCell ref="A2:G2"/>
    <mergeCell ref="A5:B5"/>
    <mergeCell ref="C8:C9"/>
    <mergeCell ref="A8:B9"/>
    <mergeCell ref="A6:B6"/>
    <mergeCell ref="A4:B4"/>
    <mergeCell ref="A3:B3"/>
    <mergeCell ref="D8:E9"/>
    <mergeCell ref="F8:F9"/>
    <mergeCell ref="G8:G9"/>
    <mergeCell ref="A7:B7"/>
    <mergeCell ref="C7:G7"/>
    <mergeCell ref="C6:G6"/>
    <mergeCell ref="D4:G4"/>
    <mergeCell ref="D3:G3"/>
  </mergeCell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Views>
    <sheetView workbookViewId="0"/>
  </sheetViews>
  <sheetFormatPr baseColWidth="10" defaultColWidth="14.44140625" defaultRowHeight="15" customHeight="1" x14ac:dyDescent="0.3"/>
  <cols>
    <col min="1" max="2" width="29.6640625" customWidth="1"/>
    <col min="3" max="3" width="14.44140625" customWidth="1"/>
    <col min="4" max="4" width="7.33203125" customWidth="1"/>
    <col min="5" max="5" width="7.44140625" customWidth="1"/>
    <col min="6" max="6" width="7.5546875" customWidth="1"/>
    <col min="7" max="7" width="20.88671875" customWidth="1"/>
  </cols>
  <sheetData>
    <row r="1" spans="1:7" ht="23.4" x14ac:dyDescent="0.45">
      <c r="A1" s="124" t="s">
        <v>365</v>
      </c>
      <c r="B1" s="145"/>
      <c r="C1" s="145"/>
      <c r="D1" s="145"/>
      <c r="E1" s="145"/>
      <c r="F1" s="145"/>
      <c r="G1" s="145"/>
    </row>
    <row r="2" spans="1:7" ht="21" x14ac:dyDescent="0.4">
      <c r="A2" s="343" t="s">
        <v>379</v>
      </c>
      <c r="B2" s="332"/>
      <c r="C2" s="332"/>
      <c r="D2" s="332"/>
      <c r="E2" s="332"/>
      <c r="F2" s="332"/>
      <c r="G2" s="330"/>
    </row>
    <row r="3" spans="1:7" ht="21" x14ac:dyDescent="0.4">
      <c r="A3" s="345" t="s">
        <v>3</v>
      </c>
      <c r="B3" s="330"/>
      <c r="C3" s="155">
        <v>100</v>
      </c>
      <c r="D3" s="489" t="s">
        <v>4</v>
      </c>
      <c r="E3" s="332"/>
      <c r="F3" s="332"/>
      <c r="G3" s="330"/>
    </row>
    <row r="4" spans="1:7" ht="21" x14ac:dyDescent="0.4">
      <c r="A4" s="347" t="s">
        <v>6</v>
      </c>
      <c r="B4" s="330"/>
      <c r="C4" s="155">
        <v>50</v>
      </c>
      <c r="D4" s="489" t="s">
        <v>4</v>
      </c>
      <c r="E4" s="332"/>
      <c r="F4" s="332"/>
      <c r="G4" s="330"/>
    </row>
    <row r="5" spans="1:7" ht="21" x14ac:dyDescent="0.4">
      <c r="A5" s="347" t="s">
        <v>7</v>
      </c>
      <c r="B5" s="330"/>
      <c r="C5" s="155">
        <v>1</v>
      </c>
      <c r="D5" s="167"/>
      <c r="E5" s="167"/>
      <c r="F5" s="167"/>
      <c r="G5" s="167"/>
    </row>
    <row r="6" spans="1:7" ht="21" x14ac:dyDescent="0.4">
      <c r="A6" s="345" t="s">
        <v>72</v>
      </c>
      <c r="B6" s="330"/>
      <c r="C6" s="489" t="s">
        <v>367</v>
      </c>
      <c r="D6" s="332"/>
      <c r="E6" s="332"/>
      <c r="F6" s="332"/>
      <c r="G6" s="330"/>
    </row>
    <row r="7" spans="1:7" ht="21" x14ac:dyDescent="0.4">
      <c r="A7" s="345" t="s">
        <v>9</v>
      </c>
      <c r="B7" s="330"/>
      <c r="C7" s="345" t="s">
        <v>368</v>
      </c>
      <c r="D7" s="332"/>
      <c r="E7" s="332"/>
      <c r="F7" s="332"/>
      <c r="G7" s="330"/>
    </row>
    <row r="8" spans="1:7" ht="15" customHeight="1" x14ac:dyDescent="0.3">
      <c r="A8" s="350" t="s">
        <v>10</v>
      </c>
      <c r="B8" s="336"/>
      <c r="C8" s="353" t="s">
        <v>11</v>
      </c>
      <c r="D8" s="616" t="s">
        <v>226</v>
      </c>
      <c r="E8" s="336"/>
      <c r="F8" s="363" t="s">
        <v>13</v>
      </c>
      <c r="G8" s="617" t="s">
        <v>14</v>
      </c>
    </row>
    <row r="9" spans="1:7" ht="14.4" x14ac:dyDescent="0.3">
      <c r="A9" s="337"/>
      <c r="B9" s="339"/>
      <c r="C9" s="342"/>
      <c r="D9" s="337"/>
      <c r="E9" s="339"/>
      <c r="F9" s="342"/>
      <c r="G9" s="342"/>
    </row>
    <row r="10" spans="1:7" ht="15" customHeight="1" x14ac:dyDescent="0.3">
      <c r="A10" s="643" t="s">
        <v>19</v>
      </c>
      <c r="B10" s="363" t="s">
        <v>369</v>
      </c>
      <c r="C10" s="642">
        <v>3596</v>
      </c>
      <c r="D10" s="694">
        <f>C4</f>
        <v>50</v>
      </c>
      <c r="E10" s="336"/>
      <c r="F10" s="612">
        <f>C5*2</f>
        <v>2</v>
      </c>
      <c r="G10" s="363">
        <v>45</v>
      </c>
    </row>
    <row r="11" spans="1:7" ht="15" customHeight="1" x14ac:dyDescent="0.3">
      <c r="A11" s="354"/>
      <c r="B11" s="354"/>
      <c r="C11" s="354"/>
      <c r="D11" s="337"/>
      <c r="E11" s="339"/>
      <c r="F11" s="342"/>
      <c r="G11" s="354"/>
    </row>
    <row r="12" spans="1:7" ht="15" customHeight="1" x14ac:dyDescent="0.3">
      <c r="A12" s="354"/>
      <c r="B12" s="362" t="s">
        <v>370</v>
      </c>
      <c r="C12" s="696">
        <v>3596</v>
      </c>
      <c r="D12" s="694">
        <f>C3</f>
        <v>100</v>
      </c>
      <c r="E12" s="336"/>
      <c r="F12" s="612">
        <f>C5*2</f>
        <v>2</v>
      </c>
      <c r="G12" s="354"/>
    </row>
    <row r="13" spans="1:7" ht="15" customHeight="1" x14ac:dyDescent="0.3">
      <c r="A13" s="342"/>
      <c r="B13" s="342"/>
      <c r="C13" s="339"/>
      <c r="D13" s="337"/>
      <c r="E13" s="339"/>
      <c r="F13" s="342"/>
      <c r="G13" s="342"/>
    </row>
    <row r="14" spans="1:7" ht="25.5" customHeight="1" x14ac:dyDescent="0.25">
      <c r="A14" s="349" t="s">
        <v>230</v>
      </c>
      <c r="B14" s="134"/>
      <c r="C14" s="132"/>
      <c r="D14" s="346"/>
      <c r="E14" s="330"/>
      <c r="F14" s="13"/>
      <c r="G14" s="61"/>
    </row>
    <row r="15" spans="1:7" ht="25.5" customHeight="1" x14ac:dyDescent="0.3">
      <c r="A15" s="354"/>
      <c r="B15" s="134" t="s">
        <v>371</v>
      </c>
      <c r="C15" s="132">
        <v>3602</v>
      </c>
      <c r="D15" s="641" t="s">
        <v>345</v>
      </c>
      <c r="E15" s="330"/>
      <c r="F15" s="13">
        <f>C5*0</f>
        <v>0</v>
      </c>
      <c r="G15" s="642">
        <v>45</v>
      </c>
    </row>
    <row r="16" spans="1:7" ht="24.75" customHeight="1" x14ac:dyDescent="0.25">
      <c r="A16" s="342"/>
      <c r="B16" s="134" t="s">
        <v>234</v>
      </c>
      <c r="C16" s="13">
        <v>3602</v>
      </c>
      <c r="D16" s="346" t="s">
        <v>345</v>
      </c>
      <c r="E16" s="330"/>
      <c r="F16" s="13">
        <f>C5*0</f>
        <v>0</v>
      </c>
      <c r="G16" s="342"/>
    </row>
    <row r="17" spans="1:7" ht="25.5" customHeight="1" x14ac:dyDescent="0.25">
      <c r="A17" s="349" t="s">
        <v>181</v>
      </c>
      <c r="B17" s="61"/>
      <c r="C17" s="612">
        <v>3599</v>
      </c>
      <c r="D17" s="346"/>
      <c r="E17" s="330"/>
      <c r="F17" s="13"/>
      <c r="G17" s="61"/>
    </row>
    <row r="18" spans="1:7" ht="15" customHeight="1" x14ac:dyDescent="0.25">
      <c r="A18" s="354"/>
      <c r="B18" s="61"/>
      <c r="C18" s="354"/>
      <c r="D18" s="346"/>
      <c r="E18" s="330"/>
      <c r="F18" s="13"/>
      <c r="G18" s="61"/>
    </row>
    <row r="19" spans="1:7" ht="14.4" x14ac:dyDescent="0.25">
      <c r="A19" s="354"/>
      <c r="B19" s="218" t="s">
        <v>237</v>
      </c>
      <c r="C19" s="354"/>
      <c r="D19" s="346">
        <f>C4-5.4</f>
        <v>44.6</v>
      </c>
      <c r="E19" s="330"/>
      <c r="F19" s="13">
        <f>C5*2</f>
        <v>2</v>
      </c>
      <c r="G19" s="61">
        <v>90</v>
      </c>
    </row>
    <row r="20" spans="1:7" ht="15" customHeight="1" x14ac:dyDescent="0.25">
      <c r="A20" s="342"/>
      <c r="B20" s="218" t="s">
        <v>238</v>
      </c>
      <c r="C20" s="354"/>
      <c r="D20" s="346">
        <f>C3-9.4</f>
        <v>90.6</v>
      </c>
      <c r="E20" s="330"/>
      <c r="F20" s="13">
        <f>C5*2</f>
        <v>2</v>
      </c>
      <c r="G20" s="61">
        <v>90</v>
      </c>
    </row>
    <row r="21" spans="1:7" ht="15.75" customHeight="1" x14ac:dyDescent="0.25">
      <c r="A21" s="630" t="s">
        <v>184</v>
      </c>
      <c r="B21" s="13"/>
      <c r="C21" s="13" t="s">
        <v>3</v>
      </c>
      <c r="D21" s="628" t="s">
        <v>6</v>
      </c>
      <c r="E21" s="330"/>
      <c r="F21" s="13"/>
      <c r="G21" s="13"/>
    </row>
    <row r="22" spans="1:7" ht="15.75" customHeight="1" x14ac:dyDescent="0.25">
      <c r="A22" s="354"/>
      <c r="B22" s="159" t="s">
        <v>159</v>
      </c>
      <c r="C22" s="162">
        <f>C3-6.3</f>
        <v>93.7</v>
      </c>
      <c r="D22" s="629">
        <f>C4-6.3</f>
        <v>43.7</v>
      </c>
      <c r="E22" s="330"/>
      <c r="F22" s="159"/>
      <c r="G22" s="363">
        <v>90</v>
      </c>
    </row>
    <row r="23" spans="1:7" ht="15.75" customHeight="1" x14ac:dyDescent="0.25">
      <c r="A23" s="342"/>
      <c r="B23" s="159" t="s">
        <v>230</v>
      </c>
      <c r="C23" s="163"/>
      <c r="D23" s="629"/>
      <c r="E23" s="330"/>
      <c r="F23" s="159">
        <f>C5*1</f>
        <v>1</v>
      </c>
      <c r="G23" s="342"/>
    </row>
    <row r="24" spans="1:7" ht="15.75" customHeight="1" x14ac:dyDescent="0.25">
      <c r="A24" s="139" t="s">
        <v>185</v>
      </c>
      <c r="B24" s="219" t="s">
        <v>372</v>
      </c>
      <c r="C24" s="218"/>
      <c r="D24" s="346"/>
      <c r="E24" s="330"/>
      <c r="F24" s="13">
        <f>(C3*2)+(C4*2)</f>
        <v>300</v>
      </c>
      <c r="G24" s="61" t="s">
        <v>43</v>
      </c>
    </row>
    <row r="25" spans="1:7" ht="15.75" customHeight="1" x14ac:dyDescent="0.25">
      <c r="A25" s="374" t="s">
        <v>373</v>
      </c>
      <c r="B25" s="695" t="s">
        <v>374</v>
      </c>
      <c r="C25" s="330"/>
      <c r="D25" s="333"/>
      <c r="E25" s="330"/>
      <c r="F25" s="13">
        <f>C5*4</f>
        <v>4</v>
      </c>
      <c r="G25" s="13"/>
    </row>
    <row r="26" spans="1:7" ht="15.75" customHeight="1" x14ac:dyDescent="0.25">
      <c r="A26" s="354"/>
      <c r="B26" s="695" t="s">
        <v>375</v>
      </c>
      <c r="C26" s="330"/>
      <c r="D26" s="333"/>
      <c r="E26" s="330"/>
      <c r="F26" s="13">
        <v>0</v>
      </c>
      <c r="G26" s="13"/>
    </row>
    <row r="27" spans="1:7" ht="15.75" customHeight="1" x14ac:dyDescent="0.25">
      <c r="A27" s="354"/>
      <c r="B27" s="695" t="s">
        <v>376</v>
      </c>
      <c r="C27" s="330"/>
      <c r="D27" s="333"/>
      <c r="E27" s="330"/>
      <c r="F27" s="13">
        <v>0</v>
      </c>
      <c r="G27" s="13"/>
    </row>
    <row r="28" spans="1:7" ht="15.75" customHeight="1" x14ac:dyDescent="0.25">
      <c r="A28" s="342"/>
      <c r="B28" s="695" t="s">
        <v>195</v>
      </c>
      <c r="C28" s="330"/>
      <c r="D28" s="333"/>
      <c r="E28" s="330"/>
      <c r="F28" s="13">
        <v>0</v>
      </c>
      <c r="G28" s="13"/>
    </row>
    <row r="29" spans="1:7" ht="15.75" customHeight="1" x14ac:dyDescent="0.3">
      <c r="A29" s="140" t="s">
        <v>241</v>
      </c>
      <c r="B29" s="13" t="s">
        <v>377</v>
      </c>
      <c r="C29" s="13"/>
      <c r="D29" s="333"/>
      <c r="E29" s="330"/>
      <c r="F29" s="13">
        <v>0</v>
      </c>
      <c r="G29" s="13"/>
    </row>
    <row r="30" spans="1:7" ht="15.75" customHeight="1" x14ac:dyDescent="0.3">
      <c r="A30" s="140" t="s">
        <v>243</v>
      </c>
      <c r="B30" s="13" t="s">
        <v>378</v>
      </c>
      <c r="C30" s="13"/>
      <c r="D30" s="333"/>
      <c r="E30" s="330"/>
      <c r="F30" s="13">
        <v>0</v>
      </c>
      <c r="G30" s="13"/>
    </row>
    <row r="31" spans="1:7" ht="15.75" customHeight="1" x14ac:dyDescent="0.3">
      <c r="A31" s="141" t="s">
        <v>56</v>
      </c>
      <c r="B31" s="611"/>
      <c r="C31" s="332"/>
      <c r="D31" s="332"/>
      <c r="E31" s="332"/>
      <c r="F31" s="332"/>
      <c r="G31" s="330"/>
    </row>
    <row r="32" spans="1:7" ht="15.75" customHeight="1" x14ac:dyDescent="0.3">
      <c r="A32" s="141" t="s">
        <v>57</v>
      </c>
      <c r="B32" s="611"/>
      <c r="C32" s="332"/>
      <c r="D32" s="332"/>
      <c r="E32" s="332"/>
      <c r="F32" s="332"/>
      <c r="G32" s="330"/>
    </row>
    <row r="33" spans="1:7" ht="15.75" customHeight="1" x14ac:dyDescent="0.3">
      <c r="A33" s="334" t="s">
        <v>58</v>
      </c>
      <c r="B33" s="335"/>
      <c r="C33" s="335"/>
      <c r="D33" s="335"/>
      <c r="E33" s="336"/>
      <c r="F33" s="331"/>
      <c r="G33" s="330"/>
    </row>
    <row r="34" spans="1:7" ht="15.75" customHeight="1" x14ac:dyDescent="0.3">
      <c r="A34" s="337"/>
      <c r="B34" s="338"/>
      <c r="C34" s="338"/>
      <c r="D34" s="338"/>
      <c r="E34" s="339"/>
      <c r="F34" s="331" t="s">
        <v>59</v>
      </c>
      <c r="G34" s="330"/>
    </row>
    <row r="35" spans="1:7" ht="15.75" customHeight="1" x14ac:dyDescent="0.3">
      <c r="A35" s="31"/>
      <c r="B35" s="32"/>
      <c r="C35" s="142"/>
      <c r="D35" s="142"/>
      <c r="E35" s="142"/>
      <c r="F35" s="142"/>
      <c r="G35" s="142"/>
    </row>
    <row r="36" spans="1:7" ht="15.75" customHeight="1" x14ac:dyDescent="0.3">
      <c r="D36" s="56"/>
    </row>
    <row r="37" spans="1:7" ht="15.75" customHeight="1" x14ac:dyDescent="0.3"/>
    <row r="38" spans="1:7" ht="15.75" customHeight="1" x14ac:dyDescent="0.3"/>
    <row r="39" spans="1:7" ht="15.75" customHeight="1" x14ac:dyDescent="0.4">
      <c r="E39" s="328"/>
      <c r="F39" s="327"/>
    </row>
    <row r="40" spans="1:7" ht="15.75" customHeight="1" x14ac:dyDescent="0.3"/>
    <row r="41" spans="1:7" ht="15.75" customHeight="1" x14ac:dyDescent="0.3">
      <c r="G41" s="56"/>
    </row>
    <row r="42" spans="1:7" ht="15.75" customHeight="1" x14ac:dyDescent="0.3"/>
    <row r="43" spans="1:7" ht="15.75" customHeight="1" x14ac:dyDescent="0.3"/>
    <row r="44" spans="1:7" ht="15.75" customHeight="1" x14ac:dyDescent="0.3"/>
    <row r="45" spans="1:7" ht="15.75" customHeight="1" x14ac:dyDescent="0.3"/>
    <row r="46" spans="1:7" ht="15.75" customHeight="1" x14ac:dyDescent="0.4">
      <c r="B46" s="328"/>
      <c r="C46" s="327"/>
      <c r="D46" s="327"/>
      <c r="E46" s="327"/>
    </row>
    <row r="47" spans="1:7" ht="15.75" customHeight="1" x14ac:dyDescent="0.3"/>
    <row r="48" spans="1: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</sheetData>
  <mergeCells count="60">
    <mergeCell ref="C6:G6"/>
    <mergeCell ref="D4:G4"/>
    <mergeCell ref="D3:G3"/>
    <mergeCell ref="A2:G2"/>
    <mergeCell ref="A6:B6"/>
    <mergeCell ref="A3:B3"/>
    <mergeCell ref="A5:B5"/>
    <mergeCell ref="A4:B4"/>
    <mergeCell ref="G15:G16"/>
    <mergeCell ref="C12:C13"/>
    <mergeCell ref="B12:B13"/>
    <mergeCell ref="C7:G7"/>
    <mergeCell ref="G8:G9"/>
    <mergeCell ref="G10:G13"/>
    <mergeCell ref="A7:B7"/>
    <mergeCell ref="D8:E9"/>
    <mergeCell ref="F8:F9"/>
    <mergeCell ref="D14:E14"/>
    <mergeCell ref="D15:E15"/>
    <mergeCell ref="F12:F13"/>
    <mergeCell ref="F10:F11"/>
    <mergeCell ref="D23:E23"/>
    <mergeCell ref="D25:E25"/>
    <mergeCell ref="D24:E24"/>
    <mergeCell ref="G22:G23"/>
    <mergeCell ref="D19:E19"/>
    <mergeCell ref="D20:E20"/>
    <mergeCell ref="D21:E21"/>
    <mergeCell ref="D22:E22"/>
    <mergeCell ref="B46:E46"/>
    <mergeCell ref="A33:E34"/>
    <mergeCell ref="B31:G31"/>
    <mergeCell ref="B28:C28"/>
    <mergeCell ref="B27:C27"/>
    <mergeCell ref="F33:G33"/>
    <mergeCell ref="B32:G32"/>
    <mergeCell ref="D29:E29"/>
    <mergeCell ref="D30:E30"/>
    <mergeCell ref="D28:E28"/>
    <mergeCell ref="D27:E27"/>
    <mergeCell ref="A25:A28"/>
    <mergeCell ref="F34:G34"/>
    <mergeCell ref="E39:F39"/>
    <mergeCell ref="D26:E26"/>
    <mergeCell ref="B26:C26"/>
    <mergeCell ref="D17:E17"/>
    <mergeCell ref="D18:E18"/>
    <mergeCell ref="C8:C9"/>
    <mergeCell ref="A8:B9"/>
    <mergeCell ref="D10:E11"/>
    <mergeCell ref="D12:E13"/>
    <mergeCell ref="A10:A13"/>
    <mergeCell ref="A14:A16"/>
    <mergeCell ref="D16:E16"/>
    <mergeCell ref="B25:C25"/>
    <mergeCell ref="A17:A20"/>
    <mergeCell ref="C17:C20"/>
    <mergeCell ref="C10:C11"/>
    <mergeCell ref="B10:B11"/>
    <mergeCell ref="A21:A23"/>
  </mergeCells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3"/>
  <sheetViews>
    <sheetView workbookViewId="0"/>
  </sheetViews>
  <sheetFormatPr baseColWidth="10" defaultColWidth="14.44140625" defaultRowHeight="15" customHeight="1" x14ac:dyDescent="0.3"/>
  <cols>
    <col min="1" max="2" width="29.6640625" customWidth="1"/>
    <col min="3" max="3" width="14.44140625" customWidth="1"/>
    <col min="4" max="4" width="7.33203125" customWidth="1"/>
    <col min="5" max="5" width="7.44140625" customWidth="1"/>
    <col min="6" max="6" width="7.5546875" customWidth="1"/>
    <col min="7" max="7" width="20.88671875" customWidth="1"/>
  </cols>
  <sheetData>
    <row r="1" spans="1:7" ht="23.4" x14ac:dyDescent="0.45">
      <c r="A1" s="124" t="s">
        <v>365</v>
      </c>
      <c r="B1" s="145"/>
      <c r="C1" s="145"/>
      <c r="D1" s="145"/>
      <c r="E1" s="145"/>
      <c r="F1" s="145"/>
      <c r="G1" s="145"/>
    </row>
    <row r="2" spans="1:7" ht="21" x14ac:dyDescent="0.4">
      <c r="A2" s="343" t="s">
        <v>380</v>
      </c>
      <c r="B2" s="332"/>
      <c r="C2" s="332"/>
      <c r="D2" s="332"/>
      <c r="E2" s="332"/>
      <c r="F2" s="332"/>
      <c r="G2" s="330"/>
    </row>
    <row r="3" spans="1:7" ht="21" x14ac:dyDescent="0.4">
      <c r="A3" s="345" t="s">
        <v>381</v>
      </c>
      <c r="B3" s="330"/>
      <c r="C3" s="155">
        <v>154.30000000000001</v>
      </c>
      <c r="D3" s="489" t="s">
        <v>4</v>
      </c>
      <c r="E3" s="332"/>
      <c r="F3" s="332"/>
      <c r="G3" s="330"/>
    </row>
    <row r="4" spans="1:7" ht="21" x14ac:dyDescent="0.4">
      <c r="A4" s="347" t="s">
        <v>382</v>
      </c>
      <c r="B4" s="330"/>
      <c r="C4" s="155">
        <v>100</v>
      </c>
      <c r="D4" s="489" t="s">
        <v>4</v>
      </c>
      <c r="E4" s="332"/>
      <c r="F4" s="332"/>
      <c r="G4" s="330"/>
    </row>
    <row r="5" spans="1:7" ht="21" x14ac:dyDescent="0.4">
      <c r="A5" s="347" t="s">
        <v>383</v>
      </c>
      <c r="B5" s="330"/>
      <c r="C5" s="155">
        <v>40</v>
      </c>
      <c r="D5" s="489" t="s">
        <v>4</v>
      </c>
      <c r="E5" s="332"/>
      <c r="F5" s="332"/>
      <c r="G5" s="330"/>
    </row>
    <row r="6" spans="1:7" ht="21" x14ac:dyDescent="0.4">
      <c r="A6" s="347" t="s">
        <v>7</v>
      </c>
      <c r="B6" s="330"/>
      <c r="C6" s="155">
        <v>1</v>
      </c>
      <c r="D6" s="167"/>
      <c r="E6" s="167"/>
      <c r="F6" s="167"/>
      <c r="G6" s="167"/>
    </row>
    <row r="7" spans="1:7" ht="21" x14ac:dyDescent="0.4">
      <c r="A7" s="345" t="s">
        <v>72</v>
      </c>
      <c r="B7" s="330"/>
      <c r="C7" s="489" t="s">
        <v>367</v>
      </c>
      <c r="D7" s="332"/>
      <c r="E7" s="332"/>
      <c r="F7" s="332"/>
      <c r="G7" s="330"/>
    </row>
    <row r="8" spans="1:7" ht="21" x14ac:dyDescent="0.4">
      <c r="A8" s="345" t="s">
        <v>9</v>
      </c>
      <c r="B8" s="330"/>
      <c r="C8" s="345" t="s">
        <v>368</v>
      </c>
      <c r="D8" s="332"/>
      <c r="E8" s="332"/>
      <c r="F8" s="332"/>
      <c r="G8" s="330"/>
    </row>
    <row r="9" spans="1:7" ht="15" customHeight="1" x14ac:dyDescent="0.3">
      <c r="A9" s="350" t="s">
        <v>10</v>
      </c>
      <c r="B9" s="336"/>
      <c r="C9" s="353" t="s">
        <v>11</v>
      </c>
      <c r="D9" s="616" t="s">
        <v>226</v>
      </c>
      <c r="E9" s="336"/>
      <c r="F9" s="363" t="s">
        <v>13</v>
      </c>
      <c r="G9" s="617" t="s">
        <v>14</v>
      </c>
    </row>
    <row r="10" spans="1:7" ht="14.4" x14ac:dyDescent="0.3">
      <c r="A10" s="337"/>
      <c r="B10" s="339"/>
      <c r="C10" s="342"/>
      <c r="D10" s="337"/>
      <c r="E10" s="339"/>
      <c r="F10" s="342"/>
      <c r="G10" s="342"/>
    </row>
    <row r="11" spans="1:7" ht="15" customHeight="1" x14ac:dyDescent="0.3">
      <c r="A11" s="643" t="s">
        <v>19</v>
      </c>
      <c r="B11" s="363" t="s">
        <v>369</v>
      </c>
      <c r="C11" s="642">
        <v>3596</v>
      </c>
      <c r="D11" s="694">
        <f>C4</f>
        <v>100</v>
      </c>
      <c r="E11" s="336"/>
      <c r="F11" s="612">
        <f>C6*2</f>
        <v>2</v>
      </c>
      <c r="G11" s="363">
        <v>45</v>
      </c>
    </row>
    <row r="12" spans="1:7" ht="15" customHeight="1" x14ac:dyDescent="0.3">
      <c r="A12" s="354"/>
      <c r="B12" s="354"/>
      <c r="C12" s="354"/>
      <c r="D12" s="337"/>
      <c r="E12" s="339"/>
      <c r="F12" s="342"/>
      <c r="G12" s="354"/>
    </row>
    <row r="13" spans="1:7" ht="15" customHeight="1" x14ac:dyDescent="0.3">
      <c r="A13" s="354"/>
      <c r="B13" s="362" t="s">
        <v>370</v>
      </c>
      <c r="C13" s="696">
        <v>3596</v>
      </c>
      <c r="D13" s="694">
        <f>C4</f>
        <v>100</v>
      </c>
      <c r="E13" s="336"/>
      <c r="F13" s="612">
        <f>C6*2</f>
        <v>2</v>
      </c>
      <c r="G13" s="354"/>
    </row>
    <row r="14" spans="1:7" ht="15" customHeight="1" x14ac:dyDescent="0.3">
      <c r="A14" s="354"/>
      <c r="B14" s="342"/>
      <c r="C14" s="339"/>
      <c r="D14" s="337"/>
      <c r="E14" s="339"/>
      <c r="F14" s="342"/>
      <c r="G14" s="342"/>
    </row>
    <row r="15" spans="1:7" ht="15" customHeight="1" x14ac:dyDescent="0.25">
      <c r="A15" s="342"/>
      <c r="B15" s="15" t="s">
        <v>384</v>
      </c>
      <c r="C15" s="217">
        <v>3604</v>
      </c>
      <c r="D15" s="346">
        <f>C3-5.3</f>
        <v>149</v>
      </c>
      <c r="E15" s="330"/>
      <c r="F15" s="13">
        <f>C6*1</f>
        <v>1</v>
      </c>
      <c r="G15" s="61"/>
    </row>
    <row r="16" spans="1:7" ht="25.5" customHeight="1" x14ac:dyDescent="0.25">
      <c r="A16" s="349" t="s">
        <v>230</v>
      </c>
      <c r="B16" s="134"/>
      <c r="C16" s="132"/>
      <c r="D16" s="346"/>
      <c r="E16" s="330"/>
      <c r="F16" s="13"/>
      <c r="G16" s="61"/>
    </row>
    <row r="17" spans="1:7" ht="25.5" customHeight="1" x14ac:dyDescent="0.3">
      <c r="A17" s="354"/>
      <c r="B17" s="134" t="s">
        <v>385</v>
      </c>
      <c r="C17" s="132">
        <v>3602</v>
      </c>
      <c r="D17" s="641">
        <f>C5+1.2</f>
        <v>41.2</v>
      </c>
      <c r="E17" s="330"/>
      <c r="F17" s="13">
        <f>C6*2</f>
        <v>2</v>
      </c>
      <c r="G17" s="642">
        <v>45</v>
      </c>
    </row>
    <row r="18" spans="1:7" ht="24.75" customHeight="1" x14ac:dyDescent="0.25">
      <c r="A18" s="342"/>
      <c r="B18" s="134" t="s">
        <v>234</v>
      </c>
      <c r="C18" s="13">
        <v>3602</v>
      </c>
      <c r="D18" s="346">
        <f>C4-4.3</f>
        <v>95.7</v>
      </c>
      <c r="E18" s="330"/>
      <c r="F18" s="13">
        <f>C6*2</f>
        <v>2</v>
      </c>
      <c r="G18" s="342"/>
    </row>
    <row r="19" spans="1:7" ht="25.5" customHeight="1" x14ac:dyDescent="0.25">
      <c r="A19" s="349" t="s">
        <v>181</v>
      </c>
      <c r="B19" s="218" t="s">
        <v>235</v>
      </c>
      <c r="C19" s="612">
        <v>3599</v>
      </c>
      <c r="D19" s="346">
        <f>C4-C5-8.4</f>
        <v>51.6</v>
      </c>
      <c r="E19" s="330"/>
      <c r="F19" s="13">
        <f>C6*2</f>
        <v>2</v>
      </c>
      <c r="G19" s="61"/>
    </row>
    <row r="20" spans="1:7" ht="15" customHeight="1" x14ac:dyDescent="0.25">
      <c r="A20" s="354"/>
      <c r="B20" s="218" t="s">
        <v>386</v>
      </c>
      <c r="C20" s="354"/>
      <c r="D20" s="346">
        <f>C3-6.3</f>
        <v>148</v>
      </c>
      <c r="E20" s="330"/>
      <c r="F20" s="13">
        <f>C6*2</f>
        <v>2</v>
      </c>
      <c r="G20" s="61"/>
    </row>
    <row r="21" spans="1:7" ht="15.75" customHeight="1" x14ac:dyDescent="0.25">
      <c r="A21" s="354"/>
      <c r="B21" s="218" t="s">
        <v>237</v>
      </c>
      <c r="C21" s="354"/>
      <c r="D21" s="346">
        <f>C4-14.4</f>
        <v>85.6</v>
      </c>
      <c r="E21" s="330"/>
      <c r="F21" s="13">
        <f>C6*2</f>
        <v>2</v>
      </c>
      <c r="G21" s="61">
        <v>90</v>
      </c>
    </row>
    <row r="22" spans="1:7" ht="15" customHeight="1" x14ac:dyDescent="0.25">
      <c r="A22" s="342"/>
      <c r="B22" s="218" t="s">
        <v>387</v>
      </c>
      <c r="C22" s="354"/>
      <c r="D22" s="346">
        <f>C3-18.4</f>
        <v>135.9</v>
      </c>
      <c r="E22" s="330"/>
      <c r="F22" s="13">
        <v>2</v>
      </c>
      <c r="G22" s="61">
        <v>90</v>
      </c>
    </row>
    <row r="23" spans="1:7" ht="15.75" customHeight="1" x14ac:dyDescent="0.25">
      <c r="A23" s="630" t="s">
        <v>184</v>
      </c>
      <c r="B23" s="13"/>
      <c r="C23" s="13" t="s">
        <v>3</v>
      </c>
      <c r="D23" s="628" t="s">
        <v>6</v>
      </c>
      <c r="E23" s="330"/>
      <c r="F23" s="13"/>
      <c r="G23" s="13"/>
    </row>
    <row r="24" spans="1:7" ht="15.75" customHeight="1" x14ac:dyDescent="0.25">
      <c r="A24" s="354"/>
      <c r="B24" s="159" t="s">
        <v>159</v>
      </c>
      <c r="C24" s="162">
        <f>C3-6.3</f>
        <v>148</v>
      </c>
      <c r="D24" s="629">
        <f>C4-C5-9.3</f>
        <v>50.7</v>
      </c>
      <c r="E24" s="330"/>
      <c r="F24" s="159">
        <f>C6*1</f>
        <v>1</v>
      </c>
      <c r="G24" s="363">
        <v>90</v>
      </c>
    </row>
    <row r="25" spans="1:7" ht="15.75" customHeight="1" x14ac:dyDescent="0.25">
      <c r="A25" s="342"/>
      <c r="B25" s="159" t="s">
        <v>230</v>
      </c>
      <c r="C25" s="163">
        <f>C3-11.3</f>
        <v>143</v>
      </c>
      <c r="D25" s="629">
        <f>C5-9.8</f>
        <v>30.2</v>
      </c>
      <c r="E25" s="330"/>
      <c r="F25" s="159">
        <f>C6*1</f>
        <v>1</v>
      </c>
      <c r="G25" s="342"/>
    </row>
    <row r="26" spans="1:7" ht="15.75" customHeight="1" x14ac:dyDescent="0.25">
      <c r="A26" s="139" t="s">
        <v>185</v>
      </c>
      <c r="B26" s="219" t="s">
        <v>372</v>
      </c>
      <c r="C26" s="218"/>
      <c r="D26" s="346"/>
      <c r="E26" s="330"/>
      <c r="F26" s="53">
        <f>(C3+C4*2)</f>
        <v>354.3</v>
      </c>
      <c r="G26" s="61" t="s">
        <v>43</v>
      </c>
    </row>
    <row r="27" spans="1:7" ht="15.75" customHeight="1" x14ac:dyDescent="0.25">
      <c r="A27" s="374" t="s">
        <v>373</v>
      </c>
      <c r="B27" s="695" t="s">
        <v>374</v>
      </c>
      <c r="C27" s="330"/>
      <c r="D27" s="333"/>
      <c r="E27" s="330"/>
      <c r="F27" s="13">
        <f>C6*4</f>
        <v>4</v>
      </c>
      <c r="G27" s="13"/>
    </row>
    <row r="28" spans="1:7" ht="15.75" customHeight="1" x14ac:dyDescent="0.25">
      <c r="A28" s="354"/>
      <c r="B28" s="695" t="s">
        <v>375</v>
      </c>
      <c r="C28" s="330"/>
      <c r="D28" s="333"/>
      <c r="E28" s="330"/>
      <c r="F28" s="13">
        <f>C6*4</f>
        <v>4</v>
      </c>
      <c r="G28" s="13"/>
    </row>
    <row r="29" spans="1:7" ht="15.75" customHeight="1" x14ac:dyDescent="0.25">
      <c r="A29" s="354"/>
      <c r="B29" s="695" t="s">
        <v>376</v>
      </c>
      <c r="C29" s="330"/>
      <c r="D29" s="333"/>
      <c r="E29" s="330"/>
      <c r="F29" s="13">
        <f>C6*1</f>
        <v>1</v>
      </c>
      <c r="G29" s="13"/>
    </row>
    <row r="30" spans="1:7" ht="15.75" customHeight="1" x14ac:dyDescent="0.25">
      <c r="A30" s="342"/>
      <c r="B30" s="695" t="s">
        <v>195</v>
      </c>
      <c r="C30" s="330"/>
      <c r="D30" s="333"/>
      <c r="E30" s="330"/>
      <c r="F30" s="13">
        <f>C6*2</f>
        <v>2</v>
      </c>
      <c r="G30" s="13"/>
    </row>
    <row r="31" spans="1:7" ht="15.75" customHeight="1" x14ac:dyDescent="0.3">
      <c r="A31" s="140" t="s">
        <v>241</v>
      </c>
      <c r="B31" s="13" t="s">
        <v>377</v>
      </c>
      <c r="C31" s="13"/>
      <c r="D31" s="333"/>
      <c r="E31" s="330"/>
      <c r="F31" s="13">
        <f>C6*1</f>
        <v>1</v>
      </c>
      <c r="G31" s="13"/>
    </row>
    <row r="32" spans="1:7" ht="15.75" customHeight="1" x14ac:dyDescent="0.3">
      <c r="A32" s="140" t="s">
        <v>243</v>
      </c>
      <c r="B32" s="13" t="s">
        <v>378</v>
      </c>
      <c r="C32" s="13"/>
      <c r="D32" s="333"/>
      <c r="E32" s="330"/>
      <c r="F32" s="13">
        <f>C6*1</f>
        <v>1</v>
      </c>
      <c r="G32" s="13"/>
    </row>
    <row r="33" spans="1:7" ht="15.75" customHeight="1" x14ac:dyDescent="0.3">
      <c r="A33" s="141" t="s">
        <v>56</v>
      </c>
      <c r="B33" s="611"/>
      <c r="C33" s="332"/>
      <c r="D33" s="332"/>
      <c r="E33" s="332"/>
      <c r="F33" s="332"/>
      <c r="G33" s="330"/>
    </row>
    <row r="34" spans="1:7" ht="15.75" customHeight="1" x14ac:dyDescent="0.3">
      <c r="A34" s="141" t="s">
        <v>57</v>
      </c>
      <c r="B34" s="611"/>
      <c r="C34" s="332"/>
      <c r="D34" s="332"/>
      <c r="E34" s="332"/>
      <c r="F34" s="332"/>
      <c r="G34" s="330"/>
    </row>
    <row r="35" spans="1:7" ht="15.75" customHeight="1" x14ac:dyDescent="0.3">
      <c r="A35" s="334" t="s">
        <v>58</v>
      </c>
      <c r="B35" s="335"/>
      <c r="C35" s="335"/>
      <c r="D35" s="335"/>
      <c r="E35" s="336"/>
      <c r="F35" s="331"/>
      <c r="G35" s="330"/>
    </row>
    <row r="36" spans="1:7" ht="15.75" customHeight="1" x14ac:dyDescent="0.3">
      <c r="A36" s="337"/>
      <c r="B36" s="338"/>
      <c r="C36" s="338"/>
      <c r="D36" s="338"/>
      <c r="E36" s="339"/>
      <c r="F36" s="331" t="s">
        <v>59</v>
      </c>
      <c r="G36" s="330"/>
    </row>
    <row r="37" spans="1:7" ht="15.75" customHeight="1" x14ac:dyDescent="0.3">
      <c r="A37" s="31"/>
      <c r="B37" s="32"/>
      <c r="C37" s="142"/>
      <c r="D37" s="142"/>
      <c r="E37" s="142"/>
      <c r="F37" s="142"/>
      <c r="G37" s="142"/>
    </row>
    <row r="38" spans="1:7" ht="15.75" customHeight="1" x14ac:dyDescent="0.3">
      <c r="D38" s="56"/>
    </row>
    <row r="39" spans="1:7" ht="15.75" customHeight="1" x14ac:dyDescent="0.3"/>
    <row r="40" spans="1:7" ht="15.75" customHeight="1" x14ac:dyDescent="0.3"/>
    <row r="41" spans="1:7" ht="15.75" customHeight="1" x14ac:dyDescent="0.4">
      <c r="E41" s="328"/>
      <c r="F41" s="327"/>
    </row>
    <row r="42" spans="1:7" ht="15.75" customHeight="1" x14ac:dyDescent="0.3"/>
    <row r="43" spans="1:7" ht="15.75" customHeight="1" x14ac:dyDescent="0.3">
      <c r="G43" s="56"/>
    </row>
    <row r="44" spans="1:7" ht="15.75" customHeight="1" x14ac:dyDescent="0.3"/>
    <row r="45" spans="1:7" ht="15.75" customHeight="1" x14ac:dyDescent="0.3"/>
    <row r="46" spans="1:7" ht="15.75" customHeight="1" x14ac:dyDescent="0.3"/>
    <row r="47" spans="1:7" ht="15.75" customHeight="1" x14ac:dyDescent="0.3"/>
    <row r="48" spans="1:7" ht="15.75" customHeight="1" x14ac:dyDescent="0.4">
      <c r="B48" s="328"/>
      <c r="C48" s="327"/>
      <c r="D48" s="327"/>
      <c r="E48" s="327"/>
    </row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</sheetData>
  <mergeCells count="63">
    <mergeCell ref="C7:G7"/>
    <mergeCell ref="D4:G4"/>
    <mergeCell ref="D3:G3"/>
    <mergeCell ref="A2:G2"/>
    <mergeCell ref="D5:G5"/>
    <mergeCell ref="A3:B3"/>
    <mergeCell ref="A4:B4"/>
    <mergeCell ref="A6:B6"/>
    <mergeCell ref="A5:B5"/>
    <mergeCell ref="A7:B7"/>
    <mergeCell ref="G11:G14"/>
    <mergeCell ref="G17:G18"/>
    <mergeCell ref="G24:G25"/>
    <mergeCell ref="G9:G10"/>
    <mergeCell ref="C8:G8"/>
    <mergeCell ref="F9:F10"/>
    <mergeCell ref="C9:C10"/>
    <mergeCell ref="D9:E10"/>
    <mergeCell ref="F13:F14"/>
    <mergeCell ref="F11:F12"/>
    <mergeCell ref="D18:E18"/>
    <mergeCell ref="D15:E15"/>
    <mergeCell ref="D16:E16"/>
    <mergeCell ref="A19:A22"/>
    <mergeCell ref="A23:A25"/>
    <mergeCell ref="A16:A18"/>
    <mergeCell ref="A11:A15"/>
    <mergeCell ref="D25:E25"/>
    <mergeCell ref="D24:E24"/>
    <mergeCell ref="D23:E23"/>
    <mergeCell ref="D13:E14"/>
    <mergeCell ref="B33:G33"/>
    <mergeCell ref="D32:E32"/>
    <mergeCell ref="A27:A30"/>
    <mergeCell ref="A9:B10"/>
    <mergeCell ref="A8:B8"/>
    <mergeCell ref="B13:B14"/>
    <mergeCell ref="B11:B12"/>
    <mergeCell ref="D20:E20"/>
    <mergeCell ref="C19:C22"/>
    <mergeCell ref="D11:E12"/>
    <mergeCell ref="D19:E19"/>
    <mergeCell ref="C13:C14"/>
    <mergeCell ref="C11:C12"/>
    <mergeCell ref="D21:E21"/>
    <mergeCell ref="D22:E22"/>
    <mergeCell ref="D17:E17"/>
    <mergeCell ref="D26:E26"/>
    <mergeCell ref="D27:E27"/>
    <mergeCell ref="B27:C27"/>
    <mergeCell ref="B48:E48"/>
    <mergeCell ref="E41:F41"/>
    <mergeCell ref="F35:G35"/>
    <mergeCell ref="B34:G34"/>
    <mergeCell ref="B28:C28"/>
    <mergeCell ref="D28:E28"/>
    <mergeCell ref="B29:C29"/>
    <mergeCell ref="B30:C30"/>
    <mergeCell ref="D31:E31"/>
    <mergeCell ref="D29:E29"/>
    <mergeCell ref="D30:E30"/>
    <mergeCell ref="F36:G36"/>
    <mergeCell ref="A35:E36"/>
  </mergeCells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3"/>
  <sheetViews>
    <sheetView workbookViewId="0"/>
  </sheetViews>
  <sheetFormatPr baseColWidth="10" defaultColWidth="14.44140625" defaultRowHeight="15" customHeight="1" x14ac:dyDescent="0.3"/>
  <cols>
    <col min="1" max="2" width="29.6640625" customWidth="1"/>
    <col min="3" max="3" width="14.44140625" customWidth="1"/>
    <col min="4" max="4" width="7.33203125" customWidth="1"/>
    <col min="5" max="5" width="7.44140625" customWidth="1"/>
    <col min="6" max="6" width="7.5546875" customWidth="1"/>
    <col min="7" max="7" width="20.88671875" customWidth="1"/>
  </cols>
  <sheetData>
    <row r="1" spans="1:7" ht="23.4" x14ac:dyDescent="0.45">
      <c r="A1" s="124" t="s">
        <v>365</v>
      </c>
      <c r="B1" s="145"/>
      <c r="C1" s="145"/>
      <c r="D1" s="145"/>
      <c r="E1" s="145"/>
      <c r="F1" s="145"/>
      <c r="G1" s="145"/>
    </row>
    <row r="2" spans="1:7" ht="21" x14ac:dyDescent="0.4">
      <c r="A2" s="343" t="s">
        <v>388</v>
      </c>
      <c r="B2" s="332"/>
      <c r="C2" s="332"/>
      <c r="D2" s="332"/>
      <c r="E2" s="332"/>
      <c r="F2" s="332"/>
      <c r="G2" s="330"/>
    </row>
    <row r="3" spans="1:7" ht="21" x14ac:dyDescent="0.4">
      <c r="A3" s="345" t="s">
        <v>381</v>
      </c>
      <c r="B3" s="330"/>
      <c r="C3" s="155">
        <v>150</v>
      </c>
      <c r="D3" s="489" t="s">
        <v>4</v>
      </c>
      <c r="E3" s="332"/>
      <c r="F3" s="332"/>
      <c r="G3" s="330"/>
    </row>
    <row r="4" spans="1:7" ht="21" x14ac:dyDescent="0.4">
      <c r="A4" s="347" t="s">
        <v>382</v>
      </c>
      <c r="B4" s="330"/>
      <c r="C4" s="155">
        <v>200</v>
      </c>
      <c r="D4" s="489" t="s">
        <v>4</v>
      </c>
      <c r="E4" s="332"/>
      <c r="F4" s="332"/>
      <c r="G4" s="330"/>
    </row>
    <row r="5" spans="1:7" ht="21" x14ac:dyDescent="0.4">
      <c r="A5" s="347" t="s">
        <v>383</v>
      </c>
      <c r="B5" s="330"/>
      <c r="C5" s="155">
        <v>40</v>
      </c>
      <c r="D5" s="489" t="s">
        <v>4</v>
      </c>
      <c r="E5" s="332"/>
      <c r="F5" s="332"/>
      <c r="G5" s="330"/>
    </row>
    <row r="6" spans="1:7" ht="21" x14ac:dyDescent="0.4">
      <c r="A6" s="347" t="s">
        <v>7</v>
      </c>
      <c r="B6" s="330"/>
      <c r="C6" s="155">
        <v>1</v>
      </c>
      <c r="D6" s="167"/>
      <c r="E6" s="167"/>
      <c r="F6" s="167"/>
      <c r="G6" s="167"/>
    </row>
    <row r="7" spans="1:7" ht="21" x14ac:dyDescent="0.4">
      <c r="A7" s="345" t="s">
        <v>72</v>
      </c>
      <c r="B7" s="330"/>
      <c r="C7" s="489" t="s">
        <v>367</v>
      </c>
      <c r="D7" s="332"/>
      <c r="E7" s="332"/>
      <c r="F7" s="332"/>
      <c r="G7" s="330"/>
    </row>
    <row r="8" spans="1:7" ht="21" x14ac:dyDescent="0.4">
      <c r="A8" s="345" t="s">
        <v>9</v>
      </c>
      <c r="B8" s="330"/>
      <c r="C8" s="345" t="s">
        <v>368</v>
      </c>
      <c r="D8" s="332"/>
      <c r="E8" s="332"/>
      <c r="F8" s="332"/>
      <c r="G8" s="330"/>
    </row>
    <row r="9" spans="1:7" ht="15" customHeight="1" x14ac:dyDescent="0.3">
      <c r="A9" s="350" t="s">
        <v>10</v>
      </c>
      <c r="B9" s="336"/>
      <c r="C9" s="353" t="s">
        <v>11</v>
      </c>
      <c r="D9" s="616" t="s">
        <v>226</v>
      </c>
      <c r="E9" s="336"/>
      <c r="F9" s="363" t="s">
        <v>13</v>
      </c>
      <c r="G9" s="617" t="s">
        <v>14</v>
      </c>
    </row>
    <row r="10" spans="1:7" ht="14.4" x14ac:dyDescent="0.3">
      <c r="A10" s="337"/>
      <c r="B10" s="339"/>
      <c r="C10" s="342"/>
      <c r="D10" s="337"/>
      <c r="E10" s="339"/>
      <c r="F10" s="342"/>
      <c r="G10" s="342"/>
    </row>
    <row r="11" spans="1:7" ht="15" customHeight="1" x14ac:dyDescent="0.3">
      <c r="A11" s="643" t="s">
        <v>19</v>
      </c>
      <c r="B11" s="363" t="s">
        <v>369</v>
      </c>
      <c r="C11" s="642">
        <v>3596</v>
      </c>
      <c r="D11" s="694">
        <f>C4</f>
        <v>200</v>
      </c>
      <c r="E11" s="336"/>
      <c r="F11" s="612">
        <f>C6*2</f>
        <v>2</v>
      </c>
      <c r="G11" s="363">
        <v>45</v>
      </c>
    </row>
    <row r="12" spans="1:7" ht="15" customHeight="1" x14ac:dyDescent="0.3">
      <c r="A12" s="354"/>
      <c r="B12" s="354"/>
      <c r="C12" s="354"/>
      <c r="D12" s="337"/>
      <c r="E12" s="339"/>
      <c r="F12" s="342"/>
      <c r="G12" s="354"/>
    </row>
    <row r="13" spans="1:7" ht="15" customHeight="1" x14ac:dyDescent="0.3">
      <c r="A13" s="354"/>
      <c r="B13" s="362" t="s">
        <v>370</v>
      </c>
      <c r="C13" s="696">
        <v>3596</v>
      </c>
      <c r="D13" s="694">
        <f>C4</f>
        <v>200</v>
      </c>
      <c r="E13" s="336"/>
      <c r="F13" s="612">
        <f>C6*2</f>
        <v>2</v>
      </c>
      <c r="G13" s="354"/>
    </row>
    <row r="14" spans="1:7" ht="15" customHeight="1" x14ac:dyDescent="0.3">
      <c r="A14" s="354"/>
      <c r="B14" s="342"/>
      <c r="C14" s="339"/>
      <c r="D14" s="337"/>
      <c r="E14" s="339"/>
      <c r="F14" s="342"/>
      <c r="G14" s="342"/>
    </row>
    <row r="15" spans="1:7" ht="15" customHeight="1" x14ac:dyDescent="0.25">
      <c r="A15" s="342"/>
      <c r="B15" s="15" t="s">
        <v>384</v>
      </c>
      <c r="C15" s="217">
        <v>3604</v>
      </c>
      <c r="D15" s="346">
        <f>C3-5.3</f>
        <v>144.69999999999999</v>
      </c>
      <c r="E15" s="330"/>
      <c r="F15" s="13">
        <f>C6*2</f>
        <v>2</v>
      </c>
      <c r="G15" s="61">
        <v>90</v>
      </c>
    </row>
    <row r="16" spans="1:7" ht="25.5" customHeight="1" x14ac:dyDescent="0.25">
      <c r="A16" s="349" t="s">
        <v>230</v>
      </c>
      <c r="B16" s="134"/>
      <c r="C16" s="132"/>
      <c r="D16" s="346"/>
      <c r="E16" s="330"/>
      <c r="F16" s="13"/>
      <c r="G16" s="61"/>
    </row>
    <row r="17" spans="1:7" ht="25.5" customHeight="1" x14ac:dyDescent="0.3">
      <c r="A17" s="354"/>
      <c r="B17" s="134" t="s">
        <v>385</v>
      </c>
      <c r="C17" s="132">
        <v>3602</v>
      </c>
      <c r="D17" s="641">
        <f>C3-5.3+1.2</f>
        <v>145.89999999999998</v>
      </c>
      <c r="E17" s="330"/>
      <c r="F17" s="13">
        <f>C6*4</f>
        <v>4</v>
      </c>
      <c r="G17" s="642">
        <v>45</v>
      </c>
    </row>
    <row r="18" spans="1:7" ht="24.75" customHeight="1" x14ac:dyDescent="0.25">
      <c r="A18" s="342"/>
      <c r="B18" s="134" t="s">
        <v>234</v>
      </c>
      <c r="C18" s="13">
        <v>3602</v>
      </c>
      <c r="D18" s="346">
        <f>C5+1.2</f>
        <v>41.2</v>
      </c>
      <c r="E18" s="330"/>
      <c r="F18" s="13">
        <f>C6*4</f>
        <v>4</v>
      </c>
      <c r="G18" s="342"/>
    </row>
    <row r="19" spans="1:7" ht="25.5" customHeight="1" x14ac:dyDescent="0.25">
      <c r="A19" s="349" t="s">
        <v>181</v>
      </c>
      <c r="B19" s="218" t="s">
        <v>235</v>
      </c>
      <c r="C19" s="612">
        <v>3599</v>
      </c>
      <c r="D19" s="346">
        <f>C4-(C5*2)-11.4</f>
        <v>108.6</v>
      </c>
      <c r="E19" s="330"/>
      <c r="F19" s="13">
        <f>C6*2</f>
        <v>2</v>
      </c>
      <c r="G19" s="61">
        <v>90</v>
      </c>
    </row>
    <row r="20" spans="1:7" ht="15" customHeight="1" x14ac:dyDescent="0.25">
      <c r="A20" s="354"/>
      <c r="B20" s="218" t="s">
        <v>386</v>
      </c>
      <c r="C20" s="354"/>
      <c r="D20" s="346">
        <f>C3-9.3</f>
        <v>140.69999999999999</v>
      </c>
      <c r="E20" s="330"/>
      <c r="F20" s="13">
        <f>C6*2</f>
        <v>2</v>
      </c>
      <c r="G20" s="61">
        <v>90</v>
      </c>
    </row>
    <row r="21" spans="1:7" ht="15.75" customHeight="1" x14ac:dyDescent="0.25">
      <c r="A21" s="354"/>
      <c r="B21" s="218" t="s">
        <v>237</v>
      </c>
      <c r="C21" s="354"/>
      <c r="D21" s="346">
        <f>D17:E17-10.1</f>
        <v>135.79999999999998</v>
      </c>
      <c r="E21" s="330"/>
      <c r="F21" s="13">
        <f>C6*4</f>
        <v>4</v>
      </c>
      <c r="G21" s="61">
        <v>90</v>
      </c>
    </row>
    <row r="22" spans="1:7" ht="15" customHeight="1" x14ac:dyDescent="0.25">
      <c r="A22" s="342"/>
      <c r="B22" s="218" t="s">
        <v>387</v>
      </c>
      <c r="C22" s="354"/>
      <c r="D22" s="346">
        <f>D17:E17-9.4</f>
        <v>136.49999999999997</v>
      </c>
      <c r="E22" s="330"/>
      <c r="F22" s="13">
        <f>C6*4</f>
        <v>4</v>
      </c>
      <c r="G22" s="61">
        <v>90</v>
      </c>
    </row>
    <row r="23" spans="1:7" ht="15.75" customHeight="1" x14ac:dyDescent="0.25">
      <c r="A23" s="630" t="s">
        <v>184</v>
      </c>
      <c r="B23" s="13"/>
      <c r="C23" s="13" t="s">
        <v>3</v>
      </c>
      <c r="D23" s="628" t="s">
        <v>6</v>
      </c>
      <c r="E23" s="330"/>
      <c r="F23" s="13"/>
      <c r="G23" s="13"/>
    </row>
    <row r="24" spans="1:7" ht="15.75" customHeight="1" x14ac:dyDescent="0.25">
      <c r="A24" s="354"/>
      <c r="B24" s="159" t="s">
        <v>159</v>
      </c>
      <c r="C24" s="162">
        <f>C3-6.3</f>
        <v>143.69999999999999</v>
      </c>
      <c r="D24" s="629">
        <f>C4-(C5*2)-9.3-2.7</f>
        <v>108</v>
      </c>
      <c r="E24" s="330"/>
      <c r="F24" s="159">
        <f>C6*1</f>
        <v>1</v>
      </c>
      <c r="G24" s="363">
        <v>90</v>
      </c>
    </row>
    <row r="25" spans="1:7" ht="15.75" customHeight="1" x14ac:dyDescent="0.25">
      <c r="A25" s="342"/>
      <c r="B25" s="159" t="s">
        <v>230</v>
      </c>
      <c r="C25" s="163">
        <f>C3-11.3</f>
        <v>138.69999999999999</v>
      </c>
      <c r="D25" s="629">
        <f>C5-9.8</f>
        <v>30.2</v>
      </c>
      <c r="E25" s="330"/>
      <c r="F25" s="159">
        <f>C6*2</f>
        <v>2</v>
      </c>
      <c r="G25" s="342"/>
    </row>
    <row r="26" spans="1:7" ht="15.75" customHeight="1" x14ac:dyDescent="0.25">
      <c r="A26" s="139" t="s">
        <v>185</v>
      </c>
      <c r="B26" s="219" t="s">
        <v>372</v>
      </c>
      <c r="C26" s="218"/>
      <c r="D26" s="346"/>
      <c r="E26" s="330"/>
      <c r="F26" s="53">
        <f>(C3+C4*4)</f>
        <v>950</v>
      </c>
      <c r="G26" s="61" t="s">
        <v>43</v>
      </c>
    </row>
    <row r="27" spans="1:7" ht="15.75" customHeight="1" x14ac:dyDescent="0.25">
      <c r="A27" s="374" t="s">
        <v>373</v>
      </c>
      <c r="B27" s="695" t="s">
        <v>374</v>
      </c>
      <c r="C27" s="330"/>
      <c r="D27" s="333"/>
      <c r="E27" s="330"/>
      <c r="F27" s="13">
        <f>C6*4</f>
        <v>4</v>
      </c>
      <c r="G27" s="13"/>
    </row>
    <row r="28" spans="1:7" ht="15.75" customHeight="1" x14ac:dyDescent="0.25">
      <c r="A28" s="354"/>
      <c r="B28" s="695" t="s">
        <v>375</v>
      </c>
      <c r="C28" s="330"/>
      <c r="D28" s="333"/>
      <c r="E28" s="330"/>
      <c r="F28" s="13">
        <f>C6*8</f>
        <v>8</v>
      </c>
      <c r="G28" s="13"/>
    </row>
    <row r="29" spans="1:7" ht="15.75" customHeight="1" x14ac:dyDescent="0.25">
      <c r="A29" s="354"/>
      <c r="B29" s="695" t="s">
        <v>376</v>
      </c>
      <c r="C29" s="330"/>
      <c r="D29" s="333"/>
      <c r="E29" s="330"/>
      <c r="F29" s="13">
        <f>C6*1</f>
        <v>1</v>
      </c>
      <c r="G29" s="13"/>
    </row>
    <row r="30" spans="1:7" ht="15.75" customHeight="1" x14ac:dyDescent="0.25">
      <c r="A30" s="342"/>
      <c r="B30" s="695" t="s">
        <v>195</v>
      </c>
      <c r="C30" s="330"/>
      <c r="D30" s="333"/>
      <c r="E30" s="330"/>
      <c r="F30" s="13">
        <f>C6*4</f>
        <v>4</v>
      </c>
      <c r="G30" s="13"/>
    </row>
    <row r="31" spans="1:7" ht="15.75" customHeight="1" x14ac:dyDescent="0.3">
      <c r="A31" s="140" t="s">
        <v>241</v>
      </c>
      <c r="B31" s="13" t="s">
        <v>377</v>
      </c>
      <c r="C31" s="13"/>
      <c r="D31" s="333"/>
      <c r="E31" s="330"/>
      <c r="F31" s="13">
        <f>C6*2</f>
        <v>2</v>
      </c>
      <c r="G31" s="13"/>
    </row>
    <row r="32" spans="1:7" ht="15.75" customHeight="1" x14ac:dyDescent="0.3">
      <c r="A32" s="140" t="s">
        <v>243</v>
      </c>
      <c r="B32" s="13" t="s">
        <v>378</v>
      </c>
      <c r="C32" s="13"/>
      <c r="D32" s="333"/>
      <c r="E32" s="330"/>
      <c r="F32" s="13">
        <f>C6*2</f>
        <v>2</v>
      </c>
      <c r="G32" s="13"/>
    </row>
    <row r="33" spans="1:7" ht="15.75" customHeight="1" x14ac:dyDescent="0.3">
      <c r="A33" s="141" t="s">
        <v>56</v>
      </c>
      <c r="B33" s="611"/>
      <c r="C33" s="332"/>
      <c r="D33" s="332"/>
      <c r="E33" s="332"/>
      <c r="F33" s="332"/>
      <c r="G33" s="330"/>
    </row>
    <row r="34" spans="1:7" ht="15.75" customHeight="1" x14ac:dyDescent="0.3">
      <c r="A34" s="141" t="s">
        <v>57</v>
      </c>
      <c r="B34" s="611"/>
      <c r="C34" s="332"/>
      <c r="D34" s="332"/>
      <c r="E34" s="332"/>
      <c r="F34" s="332"/>
      <c r="G34" s="330"/>
    </row>
    <row r="35" spans="1:7" ht="15.75" customHeight="1" x14ac:dyDescent="0.3">
      <c r="A35" s="334" t="s">
        <v>58</v>
      </c>
      <c r="B35" s="335"/>
      <c r="C35" s="335"/>
      <c r="D35" s="335"/>
      <c r="E35" s="336"/>
      <c r="F35" s="331"/>
      <c r="G35" s="330"/>
    </row>
    <row r="36" spans="1:7" ht="15.75" customHeight="1" x14ac:dyDescent="0.3">
      <c r="A36" s="337"/>
      <c r="B36" s="338"/>
      <c r="C36" s="338"/>
      <c r="D36" s="338"/>
      <c r="E36" s="339"/>
      <c r="F36" s="331" t="s">
        <v>59</v>
      </c>
      <c r="G36" s="330"/>
    </row>
    <row r="37" spans="1:7" ht="15.75" customHeight="1" x14ac:dyDescent="0.3">
      <c r="A37" s="31"/>
      <c r="B37" s="32"/>
      <c r="C37" s="142"/>
      <c r="D37" s="142"/>
      <c r="E37" s="142"/>
      <c r="F37" s="142"/>
      <c r="G37" s="142"/>
    </row>
    <row r="38" spans="1:7" ht="15.75" customHeight="1" x14ac:dyDescent="0.3">
      <c r="D38" s="56"/>
    </row>
    <row r="39" spans="1:7" ht="15.75" customHeight="1" x14ac:dyDescent="0.3"/>
    <row r="40" spans="1:7" ht="15.75" customHeight="1" x14ac:dyDescent="0.3"/>
    <row r="41" spans="1:7" ht="15.75" customHeight="1" x14ac:dyDescent="0.4">
      <c r="E41" s="328"/>
      <c r="F41" s="327"/>
    </row>
    <row r="42" spans="1:7" ht="15.75" customHeight="1" x14ac:dyDescent="0.3"/>
    <row r="43" spans="1:7" ht="15.75" customHeight="1" x14ac:dyDescent="0.3">
      <c r="G43" s="56"/>
    </row>
    <row r="44" spans="1:7" ht="15.75" customHeight="1" x14ac:dyDescent="0.3"/>
    <row r="45" spans="1:7" ht="15.75" customHeight="1" x14ac:dyDescent="0.3"/>
    <row r="46" spans="1:7" ht="15.75" customHeight="1" x14ac:dyDescent="0.3"/>
    <row r="47" spans="1:7" ht="15.75" customHeight="1" x14ac:dyDescent="0.3"/>
    <row r="48" spans="1:7" ht="15.75" customHeight="1" x14ac:dyDescent="0.4">
      <c r="B48" s="328"/>
      <c r="C48" s="327"/>
      <c r="D48" s="327"/>
      <c r="E48" s="327"/>
    </row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</sheetData>
  <mergeCells count="63">
    <mergeCell ref="A23:A25"/>
    <mergeCell ref="F36:G36"/>
    <mergeCell ref="B33:G33"/>
    <mergeCell ref="B34:G34"/>
    <mergeCell ref="D21:E21"/>
    <mergeCell ref="D29:E29"/>
    <mergeCell ref="B28:C28"/>
    <mergeCell ref="D28:E28"/>
    <mergeCell ref="B29:C29"/>
    <mergeCell ref="D23:E23"/>
    <mergeCell ref="D25:E25"/>
    <mergeCell ref="D24:E24"/>
    <mergeCell ref="D26:E26"/>
    <mergeCell ref="D22:E22"/>
    <mergeCell ref="C19:C22"/>
    <mergeCell ref="D19:E19"/>
    <mergeCell ref="D18:E18"/>
    <mergeCell ref="A19:A22"/>
    <mergeCell ref="D20:E20"/>
    <mergeCell ref="G24:G25"/>
    <mergeCell ref="G9:G10"/>
    <mergeCell ref="F13:F14"/>
    <mergeCell ref="F11:F12"/>
    <mergeCell ref="B48:E48"/>
    <mergeCell ref="F35:G35"/>
    <mergeCell ref="E41:F41"/>
    <mergeCell ref="D31:E31"/>
    <mergeCell ref="D30:E30"/>
    <mergeCell ref="A35:E36"/>
    <mergeCell ref="D32:E32"/>
    <mergeCell ref="A27:A30"/>
    <mergeCell ref="B30:C30"/>
    <mergeCell ref="D27:E27"/>
    <mergeCell ref="B27:C27"/>
    <mergeCell ref="C9:C10"/>
    <mergeCell ref="A6:B6"/>
    <mergeCell ref="A7:B7"/>
    <mergeCell ref="A9:B10"/>
    <mergeCell ref="A8:B8"/>
    <mergeCell ref="B13:B14"/>
    <mergeCell ref="B11:B12"/>
    <mergeCell ref="A16:A18"/>
    <mergeCell ref="A11:A15"/>
    <mergeCell ref="C8:G8"/>
    <mergeCell ref="C7:G7"/>
    <mergeCell ref="D15:E15"/>
    <mergeCell ref="D16:E16"/>
    <mergeCell ref="D17:E17"/>
    <mergeCell ref="C13:C14"/>
    <mergeCell ref="C11:C12"/>
    <mergeCell ref="D11:E12"/>
    <mergeCell ref="D13:E14"/>
    <mergeCell ref="F9:F10"/>
    <mergeCell ref="G11:G14"/>
    <mergeCell ref="G17:G18"/>
    <mergeCell ref="D9:E10"/>
    <mergeCell ref="D3:G3"/>
    <mergeCell ref="A2:G2"/>
    <mergeCell ref="D5:G5"/>
    <mergeCell ref="A3:B3"/>
    <mergeCell ref="A4:B4"/>
    <mergeCell ref="A5:B5"/>
    <mergeCell ref="D4:G4"/>
  </mergeCells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1"/>
  <sheetViews>
    <sheetView workbookViewId="0"/>
  </sheetViews>
  <sheetFormatPr baseColWidth="10" defaultColWidth="14.44140625" defaultRowHeight="15" customHeight="1" x14ac:dyDescent="0.3"/>
  <cols>
    <col min="1" max="1" width="15.109375" customWidth="1"/>
    <col min="2" max="2" width="28.5546875" customWidth="1"/>
    <col min="3" max="3" width="21.6640625" customWidth="1"/>
    <col min="4" max="4" width="11.6640625" customWidth="1"/>
    <col min="5" max="5" width="8.33203125" customWidth="1"/>
    <col min="6" max="6" width="3.109375" customWidth="1"/>
    <col min="7" max="7" width="7" customWidth="1"/>
    <col min="8" max="8" width="8.109375" customWidth="1"/>
    <col min="9" max="9" width="15.88671875" customWidth="1"/>
    <col min="10" max="10" width="18.33203125" customWidth="1"/>
    <col min="11" max="11" width="17.44140625" customWidth="1"/>
    <col min="12" max="12" width="13.88671875" customWidth="1"/>
    <col min="13" max="17" width="8.5546875" customWidth="1"/>
  </cols>
  <sheetData>
    <row r="1" spans="1:12" ht="22.8" x14ac:dyDescent="0.4">
      <c r="A1" s="344"/>
      <c r="B1" s="332"/>
      <c r="C1" s="332"/>
      <c r="D1" s="332"/>
      <c r="E1" s="332"/>
      <c r="F1" s="332"/>
      <c r="G1" s="332"/>
      <c r="H1" s="330"/>
      <c r="I1" s="1"/>
      <c r="J1" s="2"/>
      <c r="K1" s="2"/>
    </row>
    <row r="2" spans="1:12" ht="21" x14ac:dyDescent="0.4">
      <c r="A2" s="343" t="s">
        <v>389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2" ht="21" x14ac:dyDescent="0.4">
      <c r="A3" s="345" t="s">
        <v>3</v>
      </c>
      <c r="B3" s="332"/>
      <c r="C3" s="330"/>
      <c r="D3" s="6">
        <v>220</v>
      </c>
      <c r="E3" s="345" t="s">
        <v>4</v>
      </c>
      <c r="F3" s="332"/>
      <c r="G3" s="332"/>
      <c r="H3" s="330"/>
      <c r="I3" s="1"/>
      <c r="J3" s="2"/>
      <c r="K3" s="2"/>
    </row>
    <row r="4" spans="1:12" ht="21" x14ac:dyDescent="0.4">
      <c r="A4" s="347" t="s">
        <v>6</v>
      </c>
      <c r="B4" s="332"/>
      <c r="C4" s="330"/>
      <c r="D4" s="6">
        <v>200</v>
      </c>
      <c r="E4" s="345" t="s">
        <v>4</v>
      </c>
      <c r="F4" s="332"/>
      <c r="G4" s="332"/>
      <c r="H4" s="330"/>
      <c r="I4" s="7"/>
      <c r="J4" s="2"/>
      <c r="K4" s="2"/>
    </row>
    <row r="5" spans="1:12" ht="21" x14ac:dyDescent="0.4">
      <c r="A5" s="347" t="s">
        <v>7</v>
      </c>
      <c r="B5" s="332"/>
      <c r="C5" s="330"/>
      <c r="D5" s="8">
        <v>1</v>
      </c>
      <c r="E5" s="345"/>
      <c r="F5" s="332"/>
      <c r="G5" s="332"/>
      <c r="H5" s="330"/>
      <c r="I5" s="9"/>
      <c r="J5" s="2"/>
      <c r="K5" s="2"/>
    </row>
    <row r="6" spans="1:12" ht="17.399999999999999" x14ac:dyDescent="0.3">
      <c r="A6" s="347" t="s">
        <v>8</v>
      </c>
      <c r="B6" s="330"/>
      <c r="C6" s="331" t="s">
        <v>390</v>
      </c>
      <c r="D6" s="332"/>
      <c r="E6" s="332"/>
      <c r="F6" s="332"/>
      <c r="G6" s="332"/>
      <c r="H6" s="330"/>
      <c r="I6" s="10"/>
      <c r="J6" s="2"/>
      <c r="K6" s="2"/>
    </row>
    <row r="7" spans="1:12" ht="17.25" customHeight="1" x14ac:dyDescent="0.3">
      <c r="A7" s="347" t="s">
        <v>9</v>
      </c>
      <c r="B7" s="330"/>
      <c r="C7" s="331" t="s">
        <v>391</v>
      </c>
      <c r="D7" s="332"/>
      <c r="E7" s="332"/>
      <c r="F7" s="332"/>
      <c r="G7" s="332"/>
      <c r="H7" s="330"/>
      <c r="I7" s="10"/>
      <c r="J7" s="2"/>
      <c r="K7" s="2"/>
    </row>
    <row r="8" spans="1:12" ht="18.75" customHeight="1" x14ac:dyDescent="0.4">
      <c r="A8" s="350" t="s">
        <v>10</v>
      </c>
      <c r="B8" s="336"/>
      <c r="C8" s="349" t="s">
        <v>11</v>
      </c>
      <c r="D8" s="348" t="s">
        <v>12</v>
      </c>
      <c r="E8" s="335"/>
      <c r="F8" s="336"/>
      <c r="G8" s="351" t="s">
        <v>13</v>
      </c>
      <c r="H8" s="351" t="s">
        <v>14</v>
      </c>
      <c r="I8" s="358"/>
      <c r="J8" s="332"/>
      <c r="K8" s="330"/>
    </row>
    <row r="9" spans="1:12" ht="19.5" customHeight="1" x14ac:dyDescent="0.4">
      <c r="A9" s="337"/>
      <c r="B9" s="339"/>
      <c r="C9" s="342"/>
      <c r="D9" s="337"/>
      <c r="E9" s="338"/>
      <c r="F9" s="339"/>
      <c r="G9" s="342"/>
      <c r="H9" s="342"/>
      <c r="I9" s="12"/>
      <c r="J9" s="12"/>
      <c r="K9" s="12"/>
    </row>
    <row r="10" spans="1:12" ht="14.4" x14ac:dyDescent="0.3">
      <c r="A10" s="353" t="s">
        <v>19</v>
      </c>
      <c r="B10" s="13" t="s">
        <v>392</v>
      </c>
      <c r="C10" s="13">
        <v>3705</v>
      </c>
      <c r="D10" s="346">
        <f>D4</f>
        <v>200</v>
      </c>
      <c r="E10" s="332"/>
      <c r="F10" s="330"/>
      <c r="G10" s="13">
        <f>D5*2</f>
        <v>2</v>
      </c>
      <c r="H10" s="13">
        <v>45</v>
      </c>
      <c r="I10" s="13"/>
      <c r="J10" s="13"/>
      <c r="K10" s="14"/>
      <c r="L10" s="2"/>
    </row>
    <row r="11" spans="1:12" ht="14.4" x14ac:dyDescent="0.3">
      <c r="A11" s="354"/>
      <c r="B11" s="13" t="s">
        <v>393</v>
      </c>
      <c r="C11" s="13">
        <v>3705</v>
      </c>
      <c r="D11" s="346">
        <f>D3</f>
        <v>220</v>
      </c>
      <c r="E11" s="332"/>
      <c r="F11" s="330"/>
      <c r="G11" s="13">
        <f>D5*2</f>
        <v>2</v>
      </c>
      <c r="H11" s="13">
        <v>45</v>
      </c>
      <c r="I11" s="13"/>
      <c r="J11" s="13"/>
      <c r="K11" s="14"/>
    </row>
    <row r="12" spans="1:12" ht="14.4" x14ac:dyDescent="0.3">
      <c r="A12" s="342"/>
      <c r="B12" s="13"/>
      <c r="C12" s="13"/>
      <c r="D12" s="346"/>
      <c r="E12" s="332"/>
      <c r="F12" s="330"/>
      <c r="G12" s="13"/>
      <c r="H12" s="13"/>
      <c r="I12" s="13"/>
      <c r="J12" s="13"/>
      <c r="K12" s="14"/>
    </row>
    <row r="13" spans="1:12" ht="14.4" x14ac:dyDescent="0.3">
      <c r="A13" s="353" t="s">
        <v>29</v>
      </c>
      <c r="B13" s="13" t="s">
        <v>394</v>
      </c>
      <c r="C13" s="13">
        <v>3707</v>
      </c>
      <c r="D13" s="346">
        <f>D4/2-0.7</f>
        <v>99.3</v>
      </c>
      <c r="E13" s="332"/>
      <c r="F13" s="330"/>
      <c r="G13" s="13">
        <f>D5*4</f>
        <v>4</v>
      </c>
      <c r="H13" s="13">
        <v>45</v>
      </c>
      <c r="I13" s="13"/>
      <c r="J13" s="13"/>
      <c r="K13" s="14"/>
    </row>
    <row r="14" spans="1:12" ht="14.4" x14ac:dyDescent="0.3">
      <c r="A14" s="354"/>
      <c r="B14" s="13" t="s">
        <v>395</v>
      </c>
      <c r="C14" s="13">
        <v>3707</v>
      </c>
      <c r="D14" s="346">
        <f>D3-5.4</f>
        <v>214.6</v>
      </c>
      <c r="E14" s="332"/>
      <c r="F14" s="330"/>
      <c r="G14" s="13">
        <f>D5*2</f>
        <v>2</v>
      </c>
      <c r="H14" s="13">
        <v>45</v>
      </c>
      <c r="I14" s="13"/>
      <c r="J14" s="13"/>
      <c r="K14" s="14"/>
    </row>
    <row r="15" spans="1:12" ht="14.4" x14ac:dyDescent="0.3">
      <c r="A15" s="354"/>
      <c r="B15" s="13" t="s">
        <v>396</v>
      </c>
      <c r="C15" s="13">
        <v>3708</v>
      </c>
      <c r="D15" s="346">
        <f>D3-5.4</f>
        <v>214.6</v>
      </c>
      <c r="E15" s="332"/>
      <c r="F15" s="330"/>
      <c r="G15" s="13">
        <f>D5*2</f>
        <v>2</v>
      </c>
      <c r="H15" s="13">
        <v>45</v>
      </c>
      <c r="I15" s="13"/>
      <c r="J15" s="13"/>
      <c r="K15" s="14"/>
    </row>
    <row r="16" spans="1:12" ht="14.4" x14ac:dyDescent="0.3">
      <c r="A16" s="354"/>
      <c r="B16" s="13" t="s">
        <v>397</v>
      </c>
      <c r="C16" s="13">
        <v>3711</v>
      </c>
      <c r="D16" s="346">
        <f>D4-6.7</f>
        <v>193.3</v>
      </c>
      <c r="E16" s="332"/>
      <c r="F16" s="330"/>
      <c r="G16" s="13">
        <f>D5*2</f>
        <v>2</v>
      </c>
      <c r="H16" s="13">
        <v>90</v>
      </c>
      <c r="I16" s="13"/>
      <c r="J16" s="13"/>
      <c r="K16" s="14"/>
    </row>
    <row r="17" spans="1:14" ht="14.4" x14ac:dyDescent="0.3">
      <c r="A17" s="354"/>
      <c r="B17" s="13" t="s">
        <v>398</v>
      </c>
      <c r="C17" s="15">
        <v>3713</v>
      </c>
      <c r="D17" s="346">
        <f>D4-6.7</f>
        <v>193.3</v>
      </c>
      <c r="E17" s="332"/>
      <c r="F17" s="330"/>
      <c r="G17" s="13">
        <f>D5*2</f>
        <v>2</v>
      </c>
      <c r="H17" s="13">
        <v>90</v>
      </c>
      <c r="I17" s="15"/>
      <c r="J17" s="13"/>
      <c r="K17" s="14"/>
    </row>
    <row r="18" spans="1:14" ht="14.4" x14ac:dyDescent="0.3">
      <c r="A18" s="354"/>
      <c r="B18" s="13" t="s">
        <v>399</v>
      </c>
      <c r="C18" s="15">
        <v>3713</v>
      </c>
      <c r="D18" s="346">
        <f>D3-8.2</f>
        <v>211.8</v>
      </c>
      <c r="E18" s="332"/>
      <c r="F18" s="330"/>
      <c r="G18" s="13">
        <f>D5*2</f>
        <v>2</v>
      </c>
      <c r="H18" s="13">
        <v>90</v>
      </c>
      <c r="I18" s="214"/>
      <c r="J18" s="76"/>
      <c r="K18" s="215"/>
    </row>
    <row r="19" spans="1:14" ht="14.4" x14ac:dyDescent="0.3">
      <c r="A19" s="354"/>
      <c r="B19" s="13" t="s">
        <v>400</v>
      </c>
      <c r="C19" s="15">
        <v>3712</v>
      </c>
      <c r="D19" s="346">
        <f>D4-6.7</f>
        <v>193.3</v>
      </c>
      <c r="E19" s="332"/>
      <c r="F19" s="330"/>
      <c r="G19" s="13">
        <f>D5*2</f>
        <v>2</v>
      </c>
      <c r="H19" s="13">
        <v>90</v>
      </c>
      <c r="I19" s="214"/>
      <c r="J19" s="76"/>
      <c r="K19" s="215"/>
    </row>
    <row r="20" spans="1:14" ht="14.4" x14ac:dyDescent="0.3">
      <c r="A20" s="354"/>
      <c r="B20" s="13" t="s">
        <v>399</v>
      </c>
      <c r="C20" s="15">
        <v>3712</v>
      </c>
      <c r="D20" s="346">
        <f>D3-8.2</f>
        <v>211.8</v>
      </c>
      <c r="E20" s="332"/>
      <c r="F20" s="330"/>
      <c r="G20" s="13">
        <f>D5*4</f>
        <v>4</v>
      </c>
      <c r="H20" s="13">
        <v>90</v>
      </c>
      <c r="I20" s="214"/>
      <c r="J20" s="76"/>
      <c r="K20" s="215"/>
    </row>
    <row r="21" spans="1:14" ht="15.75" customHeight="1" x14ac:dyDescent="0.3">
      <c r="A21" s="342"/>
      <c r="B21" s="13" t="s">
        <v>401</v>
      </c>
      <c r="C21" s="15">
        <v>3714</v>
      </c>
      <c r="D21" s="346">
        <f>D4</f>
        <v>200</v>
      </c>
      <c r="E21" s="332"/>
      <c r="F21" s="330"/>
      <c r="G21" s="13">
        <f>D5*1</f>
        <v>1</v>
      </c>
      <c r="H21" s="13">
        <v>90</v>
      </c>
      <c r="I21" s="214"/>
      <c r="J21" s="76"/>
      <c r="K21" s="215"/>
    </row>
    <row r="22" spans="1:14" ht="16.5" customHeight="1" x14ac:dyDescent="0.3">
      <c r="A22" s="355" t="s">
        <v>39</v>
      </c>
      <c r="B22" s="359" t="s">
        <v>341</v>
      </c>
      <c r="C22" s="697" t="s">
        <v>402</v>
      </c>
      <c r="D22" s="16" t="s">
        <v>3</v>
      </c>
      <c r="E22" s="329" t="s">
        <v>41</v>
      </c>
      <c r="F22" s="330"/>
      <c r="G22" s="17"/>
      <c r="H22" s="18"/>
      <c r="I22" s="2"/>
      <c r="J22" s="2"/>
      <c r="K22" s="2"/>
    </row>
    <row r="23" spans="1:14" ht="15.75" customHeight="1" x14ac:dyDescent="0.3">
      <c r="A23" s="354"/>
      <c r="B23" s="354"/>
      <c r="C23" s="354"/>
      <c r="D23" s="528">
        <f>D3-16.5</f>
        <v>203.5</v>
      </c>
      <c r="E23" s="529">
        <f>D4/2-11.8</f>
        <v>88.2</v>
      </c>
      <c r="F23" s="336"/>
      <c r="G23" s="485">
        <f>D5*2</f>
        <v>2</v>
      </c>
      <c r="H23" s="485"/>
      <c r="I23" s="10"/>
      <c r="M23" s="2"/>
      <c r="N23" s="2"/>
    </row>
    <row r="24" spans="1:14" ht="15.75" customHeight="1" x14ac:dyDescent="0.3">
      <c r="A24" s="354"/>
      <c r="B24" s="354"/>
      <c r="C24" s="342"/>
      <c r="D24" s="342"/>
      <c r="E24" s="337"/>
      <c r="F24" s="339"/>
      <c r="G24" s="342"/>
      <c r="H24" s="342"/>
      <c r="I24" s="10"/>
      <c r="M24" s="2"/>
      <c r="N24" s="2"/>
    </row>
    <row r="25" spans="1:14" ht="15.75" customHeight="1" x14ac:dyDescent="0.3">
      <c r="A25" s="354"/>
      <c r="B25" s="354"/>
      <c r="C25" s="341" t="s">
        <v>403</v>
      </c>
      <c r="D25" s="528">
        <f>D3-17.5</f>
        <v>202.5</v>
      </c>
      <c r="E25" s="529">
        <f>D4/2-12.8</f>
        <v>87.2</v>
      </c>
      <c r="F25" s="336"/>
      <c r="G25" s="485">
        <f>D5*2</f>
        <v>2</v>
      </c>
      <c r="H25" s="485"/>
      <c r="I25" s="10"/>
      <c r="M25" s="2"/>
      <c r="N25" s="2"/>
    </row>
    <row r="26" spans="1:14" ht="15.75" customHeight="1" x14ac:dyDescent="0.3">
      <c r="A26" s="342"/>
      <c r="B26" s="342"/>
      <c r="C26" s="342"/>
      <c r="D26" s="342"/>
      <c r="E26" s="337"/>
      <c r="F26" s="339"/>
      <c r="G26" s="342"/>
      <c r="H26" s="342"/>
      <c r="I26" s="10"/>
      <c r="M26" s="2"/>
      <c r="N26" s="2"/>
    </row>
    <row r="27" spans="1:14" ht="15.75" customHeight="1" x14ac:dyDescent="0.3">
      <c r="A27" s="20" t="s">
        <v>42</v>
      </c>
      <c r="B27" s="13" t="s">
        <v>404</v>
      </c>
      <c r="C27" s="21"/>
      <c r="D27" s="356"/>
      <c r="E27" s="332"/>
      <c r="F27" s="330"/>
      <c r="G27" s="13">
        <f>(D23*4)+(E23*4)*D5</f>
        <v>1166.8</v>
      </c>
      <c r="H27" s="13" t="s">
        <v>43</v>
      </c>
      <c r="I27" s="10"/>
      <c r="M27" s="2"/>
      <c r="N27" s="2"/>
    </row>
    <row r="28" spans="1:14" ht="15.75" customHeight="1" x14ac:dyDescent="0.3">
      <c r="A28" s="20" t="s">
        <v>405</v>
      </c>
      <c r="B28" s="13" t="s">
        <v>406</v>
      </c>
      <c r="C28" s="13"/>
      <c r="D28" s="333"/>
      <c r="E28" s="332"/>
      <c r="F28" s="330"/>
      <c r="G28" s="13">
        <f>D5*4</f>
        <v>4</v>
      </c>
      <c r="H28" s="13"/>
      <c r="I28" s="352"/>
      <c r="J28" s="2"/>
      <c r="K28" s="2"/>
      <c r="L28" s="2"/>
      <c r="M28" s="2"/>
      <c r="N28" s="2"/>
    </row>
    <row r="29" spans="1:14" ht="15.75" customHeight="1" x14ac:dyDescent="0.3">
      <c r="A29" s="20"/>
      <c r="B29" s="13" t="s">
        <v>407</v>
      </c>
      <c r="C29" s="13"/>
      <c r="D29" s="23"/>
      <c r="E29" s="23"/>
      <c r="F29" s="24"/>
      <c r="G29" s="24">
        <f>D5*8</f>
        <v>8</v>
      </c>
      <c r="H29" s="13"/>
      <c r="I29" s="327"/>
      <c r="J29" s="2"/>
      <c r="K29" s="2"/>
      <c r="L29" s="2"/>
      <c r="M29" s="2"/>
      <c r="N29" s="2"/>
    </row>
    <row r="30" spans="1:14" ht="15.75" customHeight="1" x14ac:dyDescent="0.3">
      <c r="A30" s="20"/>
      <c r="B30" s="13" t="s">
        <v>408</v>
      </c>
      <c r="C30" s="13"/>
      <c r="D30" s="22"/>
      <c r="E30" s="25"/>
      <c r="F30" s="24"/>
      <c r="G30" s="24">
        <f>D5*1</f>
        <v>1</v>
      </c>
      <c r="H30" s="13"/>
      <c r="I30" s="327"/>
      <c r="J30" s="2"/>
      <c r="K30" s="2"/>
      <c r="L30" s="2"/>
      <c r="M30" s="2"/>
      <c r="N30" s="2"/>
    </row>
    <row r="31" spans="1:14" ht="15.75" customHeight="1" x14ac:dyDescent="0.3">
      <c r="A31" s="20"/>
      <c r="B31" s="13" t="s">
        <v>409</v>
      </c>
      <c r="C31" s="13"/>
      <c r="D31" s="27"/>
      <c r="E31" s="23"/>
      <c r="F31" s="28"/>
      <c r="G31" s="24">
        <f>D5*1</f>
        <v>1</v>
      </c>
      <c r="H31" s="13"/>
      <c r="I31" s="10"/>
      <c r="J31" s="2"/>
      <c r="K31" s="29"/>
      <c r="L31" s="2"/>
      <c r="M31" s="2"/>
      <c r="N31" s="2"/>
    </row>
    <row r="32" spans="1:14" ht="15.75" customHeight="1" x14ac:dyDescent="0.3">
      <c r="A32" s="20"/>
      <c r="B32" s="13" t="s">
        <v>410</v>
      </c>
      <c r="C32" s="13"/>
      <c r="D32" s="23"/>
      <c r="E32" s="23"/>
      <c r="F32" s="28"/>
      <c r="G32" s="24">
        <f>D5*1</f>
        <v>1</v>
      </c>
      <c r="H32" s="13"/>
      <c r="I32" s="10"/>
      <c r="J32" s="2"/>
      <c r="K32" s="29"/>
      <c r="L32" s="2"/>
      <c r="M32" s="2"/>
      <c r="N32" s="2"/>
    </row>
    <row r="33" spans="1:17" ht="15.75" customHeight="1" x14ac:dyDescent="0.3">
      <c r="A33" s="20"/>
      <c r="B33" s="13" t="s">
        <v>411</v>
      </c>
      <c r="C33" s="13"/>
      <c r="D33" s="23"/>
      <c r="E33" s="23"/>
      <c r="F33" s="28"/>
      <c r="G33" s="24">
        <f>D5*1</f>
        <v>1</v>
      </c>
      <c r="H33" s="13"/>
      <c r="I33" s="10"/>
      <c r="J33" s="2"/>
      <c r="K33" s="29"/>
      <c r="L33" s="2"/>
      <c r="M33" s="2"/>
      <c r="N33" s="2"/>
    </row>
    <row r="34" spans="1:17" ht="15.75" customHeight="1" x14ac:dyDescent="0.3">
      <c r="A34" s="20" t="s">
        <v>50</v>
      </c>
      <c r="B34" s="13" t="s">
        <v>412</v>
      </c>
      <c r="C34" s="13"/>
      <c r="D34" s="340"/>
      <c r="E34" s="332"/>
      <c r="F34" s="330"/>
      <c r="G34" s="24">
        <f>D5*2</f>
        <v>2</v>
      </c>
      <c r="H34" s="13"/>
      <c r="I34" s="10"/>
      <c r="J34" s="2"/>
      <c r="K34" s="2"/>
      <c r="L34" s="2"/>
      <c r="M34" s="2"/>
      <c r="N34" s="2"/>
    </row>
    <row r="35" spans="1:17" ht="15.75" customHeight="1" x14ac:dyDescent="0.3">
      <c r="A35" s="20" t="s">
        <v>413</v>
      </c>
      <c r="B35" s="30"/>
      <c r="C35" s="13"/>
      <c r="D35" s="22"/>
      <c r="E35" s="25"/>
      <c r="F35" s="24"/>
      <c r="G35" s="24">
        <f>D5*1</f>
        <v>1</v>
      </c>
      <c r="H35" s="13"/>
      <c r="I35" s="10"/>
      <c r="J35" s="2"/>
      <c r="K35" s="2"/>
      <c r="L35" s="2"/>
      <c r="M35" s="2"/>
      <c r="N35" s="2"/>
    </row>
    <row r="36" spans="1:17" ht="15.75" customHeight="1" x14ac:dyDescent="0.3">
      <c r="A36" s="20"/>
      <c r="B36" s="13"/>
      <c r="C36" s="13"/>
      <c r="D36" s="333"/>
      <c r="E36" s="332"/>
      <c r="F36" s="330"/>
      <c r="G36" s="24">
        <f>D5*4</f>
        <v>4</v>
      </c>
      <c r="H36" s="13"/>
      <c r="I36" s="10"/>
      <c r="J36" s="2"/>
      <c r="K36" s="2"/>
      <c r="L36" s="2"/>
      <c r="M36" s="2"/>
      <c r="N36" s="2"/>
    </row>
    <row r="37" spans="1:17" ht="15.75" customHeight="1" x14ac:dyDescent="0.3">
      <c r="A37" s="20"/>
      <c r="B37" s="13"/>
      <c r="C37" s="13"/>
      <c r="D37" s="333"/>
      <c r="E37" s="332"/>
      <c r="F37" s="330"/>
      <c r="G37" s="24"/>
      <c r="H37" s="13"/>
      <c r="I37" s="10"/>
      <c r="J37" s="2"/>
      <c r="K37" s="2"/>
      <c r="O37" s="2"/>
      <c r="P37" s="2"/>
      <c r="Q37" s="2"/>
    </row>
    <row r="38" spans="1:17" ht="15.75" customHeight="1" x14ac:dyDescent="0.3">
      <c r="A38" s="331" t="s">
        <v>56</v>
      </c>
      <c r="B38" s="330"/>
      <c r="C38" s="331"/>
      <c r="D38" s="332"/>
      <c r="E38" s="332"/>
      <c r="F38" s="332"/>
      <c r="G38" s="332"/>
      <c r="H38" s="330"/>
      <c r="I38" s="10"/>
      <c r="J38" s="2"/>
      <c r="K38" s="2"/>
    </row>
    <row r="39" spans="1:17" ht="15.75" customHeight="1" x14ac:dyDescent="0.3">
      <c r="A39" s="331" t="s">
        <v>57</v>
      </c>
      <c r="B39" s="330"/>
      <c r="C39" s="331"/>
      <c r="D39" s="332"/>
      <c r="E39" s="332"/>
      <c r="F39" s="332"/>
      <c r="G39" s="332"/>
      <c r="H39" s="330"/>
      <c r="I39" s="10"/>
      <c r="J39" s="2"/>
      <c r="K39" s="2"/>
    </row>
    <row r="40" spans="1:17" ht="15.75" customHeight="1" x14ac:dyDescent="0.3">
      <c r="A40" s="334" t="s">
        <v>58</v>
      </c>
      <c r="B40" s="335"/>
      <c r="C40" s="335"/>
      <c r="D40" s="335"/>
      <c r="E40" s="336"/>
      <c r="F40" s="331"/>
      <c r="G40" s="332"/>
      <c r="H40" s="330"/>
      <c r="I40" s="10"/>
      <c r="J40" s="2"/>
      <c r="K40" s="2"/>
    </row>
    <row r="41" spans="1:17" ht="15.75" customHeight="1" x14ac:dyDescent="0.3">
      <c r="A41" s="337"/>
      <c r="B41" s="338"/>
      <c r="C41" s="338"/>
      <c r="D41" s="338"/>
      <c r="E41" s="339"/>
      <c r="F41" s="331" t="s">
        <v>59</v>
      </c>
      <c r="G41" s="332"/>
      <c r="H41" s="330"/>
      <c r="I41" s="10"/>
      <c r="J41" s="2"/>
      <c r="K41" s="2"/>
    </row>
    <row r="42" spans="1:17" ht="15.75" customHeight="1" x14ac:dyDescent="0.3">
      <c r="A42" s="31"/>
      <c r="B42" s="32"/>
      <c r="C42" s="33"/>
      <c r="D42" s="32"/>
      <c r="E42" s="32"/>
      <c r="F42" s="32"/>
      <c r="G42" s="32"/>
      <c r="H42" s="32"/>
      <c r="I42" s="34"/>
      <c r="J42" s="2"/>
      <c r="K42" s="2"/>
    </row>
    <row r="43" spans="1:17" ht="15.75" customHeight="1" x14ac:dyDescent="0.3">
      <c r="A43" s="31"/>
      <c r="B43" s="32"/>
      <c r="C43" s="32"/>
      <c r="D43" s="32"/>
      <c r="E43" s="32"/>
      <c r="F43" s="326"/>
      <c r="G43" s="32"/>
      <c r="H43" s="32"/>
      <c r="I43" s="34"/>
      <c r="J43" s="2"/>
      <c r="K43" s="2"/>
    </row>
    <row r="44" spans="1:17" ht="15.75" customHeight="1" x14ac:dyDescent="0.3">
      <c r="A44" s="31"/>
      <c r="B44" s="32"/>
      <c r="C44" s="32"/>
      <c r="D44" s="32"/>
      <c r="E44" s="32"/>
      <c r="F44" s="327"/>
      <c r="G44" s="32"/>
      <c r="H44" s="32"/>
      <c r="I44" s="34"/>
      <c r="J44" s="2"/>
      <c r="K44" s="2"/>
    </row>
    <row r="45" spans="1:17" ht="15.75" customHeight="1" x14ac:dyDescent="0.3">
      <c r="A45" s="31"/>
      <c r="B45" s="32"/>
      <c r="C45" s="32"/>
      <c r="D45" s="32"/>
      <c r="E45" s="32"/>
      <c r="F45" s="327"/>
      <c r="G45" s="32"/>
      <c r="H45" s="32"/>
      <c r="I45" s="34"/>
      <c r="J45" s="2"/>
      <c r="K45" s="2"/>
    </row>
    <row r="46" spans="1:17" ht="15.75" customHeight="1" x14ac:dyDescent="0.4">
      <c r="A46" s="31"/>
      <c r="B46" s="32"/>
      <c r="C46" s="32"/>
      <c r="D46" s="32"/>
      <c r="E46" s="35"/>
      <c r="F46" s="327"/>
      <c r="G46" s="32"/>
      <c r="H46" s="32"/>
      <c r="I46" s="34"/>
      <c r="J46" s="2"/>
      <c r="K46" s="2"/>
    </row>
    <row r="47" spans="1:17" ht="15.75" customHeight="1" x14ac:dyDescent="0.3">
      <c r="A47" s="36"/>
      <c r="B47" s="32"/>
      <c r="C47" s="32"/>
      <c r="D47" s="32"/>
      <c r="E47" s="32"/>
      <c r="F47" s="327"/>
      <c r="G47" s="32"/>
      <c r="H47" s="32"/>
      <c r="I47" s="34"/>
      <c r="J47" s="2"/>
      <c r="K47" s="2"/>
    </row>
    <row r="48" spans="1:17" ht="15.75" customHeight="1" x14ac:dyDescent="0.3">
      <c r="A48" s="31"/>
      <c r="B48" s="32"/>
      <c r="C48" s="32"/>
      <c r="D48" s="32"/>
      <c r="E48" s="32"/>
      <c r="F48" s="327"/>
      <c r="G48" s="32"/>
      <c r="H48" s="32"/>
      <c r="I48" s="34"/>
      <c r="J48" s="2"/>
      <c r="K48" s="2"/>
    </row>
    <row r="49" spans="1:11" ht="15.75" customHeight="1" x14ac:dyDescent="0.3">
      <c r="A49" s="31"/>
      <c r="B49" s="32"/>
      <c r="C49" s="32"/>
      <c r="D49" s="32"/>
      <c r="E49" s="32"/>
      <c r="F49" s="327"/>
      <c r="G49" s="32"/>
      <c r="H49" s="32"/>
      <c r="I49" s="34"/>
      <c r="J49" s="2"/>
      <c r="K49" s="2"/>
    </row>
    <row r="50" spans="1:11" ht="15.75" customHeight="1" x14ac:dyDescent="0.3">
      <c r="A50" s="31"/>
      <c r="B50" s="32"/>
      <c r="C50" s="32"/>
      <c r="D50" s="32"/>
      <c r="E50" s="32"/>
      <c r="F50" s="327"/>
      <c r="G50" s="32"/>
      <c r="H50" s="32"/>
      <c r="I50" s="34"/>
      <c r="J50" s="2"/>
      <c r="K50" s="2"/>
    </row>
    <row r="51" spans="1:11" ht="15.75" customHeight="1" x14ac:dyDescent="0.3">
      <c r="A51" s="31"/>
      <c r="B51" s="32"/>
      <c r="C51" s="32"/>
      <c r="D51" s="32"/>
      <c r="E51" s="32"/>
      <c r="F51" s="327"/>
      <c r="G51" s="32"/>
      <c r="H51" s="32"/>
      <c r="I51" s="34"/>
      <c r="J51" s="2"/>
      <c r="K51" s="2"/>
    </row>
    <row r="52" spans="1:11" ht="15.75" customHeight="1" x14ac:dyDescent="0.3">
      <c r="A52" s="31"/>
      <c r="B52" s="32"/>
      <c r="C52" s="32"/>
      <c r="D52" s="32"/>
      <c r="E52" s="32"/>
      <c r="F52" s="327"/>
      <c r="G52" s="32"/>
      <c r="H52" s="32"/>
      <c r="I52" s="34"/>
      <c r="J52" s="2"/>
      <c r="K52" s="2"/>
    </row>
    <row r="53" spans="1:11" ht="15.75" customHeight="1" x14ac:dyDescent="0.4">
      <c r="A53" s="31"/>
      <c r="B53" s="328"/>
      <c r="C53" s="327"/>
      <c r="D53" s="327"/>
      <c r="E53" s="32"/>
      <c r="F53" s="2"/>
      <c r="G53" s="32"/>
      <c r="H53" s="32"/>
      <c r="I53" s="34"/>
      <c r="J53" s="2"/>
      <c r="K53" s="2"/>
    </row>
    <row r="54" spans="1:11" ht="15.75" customHeight="1" x14ac:dyDescent="0.3">
      <c r="A54" s="31"/>
      <c r="B54" s="32"/>
      <c r="C54" s="33"/>
      <c r="D54" s="32"/>
      <c r="E54" s="32"/>
      <c r="F54" s="32"/>
      <c r="G54" s="32"/>
      <c r="H54" s="32"/>
      <c r="I54" s="34"/>
      <c r="J54" s="2"/>
      <c r="K54" s="2"/>
    </row>
    <row r="55" spans="1:11" ht="15.75" customHeight="1" x14ac:dyDescent="0.3"/>
    <row r="56" spans="1:11" ht="15.75" customHeight="1" x14ac:dyDescent="0.3"/>
    <row r="57" spans="1:11" ht="15.75" customHeight="1" x14ac:dyDescent="0.3"/>
    <row r="58" spans="1:11" ht="15.75" customHeight="1" x14ac:dyDescent="0.3"/>
    <row r="59" spans="1:11" ht="15.75" customHeight="1" x14ac:dyDescent="0.3"/>
    <row r="60" spans="1:11" ht="15.75" customHeight="1" x14ac:dyDescent="0.3"/>
    <row r="61" spans="1:11" ht="15.75" customHeight="1" x14ac:dyDescent="0.3"/>
    <row r="62" spans="1:11" ht="15.75" customHeight="1" x14ac:dyDescent="0.3"/>
    <row r="63" spans="1:11" ht="15.75" customHeight="1" x14ac:dyDescent="0.3"/>
    <row r="64" spans="1:11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</sheetData>
  <mergeCells count="60">
    <mergeCell ref="I28:I30"/>
    <mergeCell ref="H8:H9"/>
    <mergeCell ref="I8:K8"/>
    <mergeCell ref="E4:H4"/>
    <mergeCell ref="E5:H5"/>
    <mergeCell ref="D18:F18"/>
    <mergeCell ref="D17:F17"/>
    <mergeCell ref="D12:F12"/>
    <mergeCell ref="D13:F13"/>
    <mergeCell ref="D19:F19"/>
    <mergeCell ref="D20:F20"/>
    <mergeCell ref="G8:G9"/>
    <mergeCell ref="C7:H7"/>
    <mergeCell ref="F43:F52"/>
    <mergeCell ref="B53:D53"/>
    <mergeCell ref="H25:H26"/>
    <mergeCell ref="H23:H24"/>
    <mergeCell ref="C38:H38"/>
    <mergeCell ref="C39:H39"/>
    <mergeCell ref="C25:C26"/>
    <mergeCell ref="B22:B26"/>
    <mergeCell ref="C22:C24"/>
    <mergeCell ref="D28:F28"/>
    <mergeCell ref="D27:F27"/>
    <mergeCell ref="D36:F36"/>
    <mergeCell ref="D37:F37"/>
    <mergeCell ref="A38:B38"/>
    <mergeCell ref="A40:E41"/>
    <mergeCell ref="A39:B39"/>
    <mergeCell ref="A22:A26"/>
    <mergeCell ref="G23:G24"/>
    <mergeCell ref="F40:H40"/>
    <mergeCell ref="F41:H41"/>
    <mergeCell ref="D34:F34"/>
    <mergeCell ref="G25:G26"/>
    <mergeCell ref="D25:D26"/>
    <mergeCell ref="E22:F22"/>
    <mergeCell ref="D23:D24"/>
    <mergeCell ref="E23:F24"/>
    <mergeCell ref="E25:F26"/>
    <mergeCell ref="A6:B6"/>
    <mergeCell ref="D8:F9"/>
    <mergeCell ref="D16:F16"/>
    <mergeCell ref="D15:F15"/>
    <mergeCell ref="D11:F11"/>
    <mergeCell ref="D10:F10"/>
    <mergeCell ref="D14:F14"/>
    <mergeCell ref="C6:H6"/>
    <mergeCell ref="A13:A21"/>
    <mergeCell ref="A10:A12"/>
    <mergeCell ref="A7:B7"/>
    <mergeCell ref="C8:C9"/>
    <mergeCell ref="A8:B9"/>
    <mergeCell ref="D21:F21"/>
    <mergeCell ref="E3:H3"/>
    <mergeCell ref="A3:C3"/>
    <mergeCell ref="A2:H2"/>
    <mergeCell ref="A1:H1"/>
    <mergeCell ref="A5:C5"/>
    <mergeCell ref="A4:C4"/>
  </mergeCells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1"/>
  <sheetViews>
    <sheetView workbookViewId="0"/>
  </sheetViews>
  <sheetFormatPr baseColWidth="10" defaultColWidth="14.44140625" defaultRowHeight="15" customHeight="1" x14ac:dyDescent="0.3"/>
  <cols>
    <col min="1" max="1" width="15.109375" customWidth="1"/>
    <col min="2" max="2" width="28.5546875" customWidth="1"/>
    <col min="3" max="3" width="21.6640625" customWidth="1"/>
    <col min="4" max="4" width="11.6640625" customWidth="1"/>
    <col min="5" max="5" width="8.33203125" customWidth="1"/>
    <col min="6" max="6" width="3.109375" customWidth="1"/>
    <col min="7" max="7" width="7" customWidth="1"/>
    <col min="8" max="8" width="8.109375" customWidth="1"/>
    <col min="9" max="9" width="15.88671875" customWidth="1"/>
    <col min="10" max="10" width="18.33203125" customWidth="1"/>
    <col min="11" max="11" width="17.44140625" customWidth="1"/>
    <col min="12" max="12" width="13.88671875" customWidth="1"/>
    <col min="13" max="17" width="8.5546875" customWidth="1"/>
  </cols>
  <sheetData>
    <row r="1" spans="1:12" ht="22.8" x14ac:dyDescent="0.4">
      <c r="A1" s="344"/>
      <c r="B1" s="332"/>
      <c r="C1" s="332"/>
      <c r="D1" s="332"/>
      <c r="E1" s="332"/>
      <c r="F1" s="332"/>
      <c r="G1" s="332"/>
      <c r="H1" s="330"/>
      <c r="I1" s="1"/>
      <c r="J1" s="2"/>
      <c r="K1" s="2"/>
    </row>
    <row r="2" spans="1:12" ht="21" x14ac:dyDescent="0.4">
      <c r="A2" s="343" t="s">
        <v>414</v>
      </c>
      <c r="B2" s="332"/>
      <c r="C2" s="332"/>
      <c r="D2" s="332"/>
      <c r="E2" s="332"/>
      <c r="F2" s="332"/>
      <c r="G2" s="332"/>
      <c r="H2" s="330"/>
      <c r="I2" s="4"/>
      <c r="J2" s="2"/>
      <c r="K2" s="2"/>
    </row>
    <row r="3" spans="1:12" ht="21" x14ac:dyDescent="0.4">
      <c r="A3" s="345" t="s">
        <v>3</v>
      </c>
      <c r="B3" s="332"/>
      <c r="C3" s="330"/>
      <c r="D3" s="6">
        <v>220</v>
      </c>
      <c r="E3" s="345" t="s">
        <v>4</v>
      </c>
      <c r="F3" s="332"/>
      <c r="G3" s="332"/>
      <c r="H3" s="330"/>
      <c r="I3" s="1"/>
      <c r="J3" s="2"/>
      <c r="K3" s="2"/>
    </row>
    <row r="4" spans="1:12" ht="21" x14ac:dyDescent="0.4">
      <c r="A4" s="347" t="s">
        <v>6</v>
      </c>
      <c r="B4" s="332"/>
      <c r="C4" s="330"/>
      <c r="D4" s="6">
        <v>200</v>
      </c>
      <c r="E4" s="345" t="s">
        <v>4</v>
      </c>
      <c r="F4" s="332"/>
      <c r="G4" s="332"/>
      <c r="H4" s="330"/>
      <c r="I4" s="7"/>
      <c r="J4" s="2"/>
      <c r="K4" s="2"/>
    </row>
    <row r="5" spans="1:12" ht="21" x14ac:dyDescent="0.4">
      <c r="A5" s="347" t="s">
        <v>7</v>
      </c>
      <c r="B5" s="332"/>
      <c r="C5" s="330"/>
      <c r="D5" s="8">
        <v>1</v>
      </c>
      <c r="E5" s="345"/>
      <c r="F5" s="332"/>
      <c r="G5" s="332"/>
      <c r="H5" s="330"/>
      <c r="I5" s="9"/>
      <c r="J5" s="2"/>
      <c r="K5" s="2"/>
    </row>
    <row r="6" spans="1:12" ht="17.399999999999999" x14ac:dyDescent="0.3">
      <c r="A6" s="347" t="s">
        <v>8</v>
      </c>
      <c r="B6" s="330"/>
      <c r="C6" s="331" t="s">
        <v>390</v>
      </c>
      <c r="D6" s="332"/>
      <c r="E6" s="332"/>
      <c r="F6" s="332"/>
      <c r="G6" s="332"/>
      <c r="H6" s="330"/>
      <c r="I6" s="10"/>
      <c r="J6" s="2"/>
      <c r="K6" s="2"/>
    </row>
    <row r="7" spans="1:12" ht="17.25" customHeight="1" x14ac:dyDescent="0.3">
      <c r="A7" s="347" t="s">
        <v>9</v>
      </c>
      <c r="B7" s="330"/>
      <c r="C7" s="331" t="s">
        <v>391</v>
      </c>
      <c r="D7" s="332"/>
      <c r="E7" s="332"/>
      <c r="F7" s="332"/>
      <c r="G7" s="332"/>
      <c r="H7" s="330"/>
      <c r="I7" s="10"/>
      <c r="J7" s="2"/>
      <c r="K7" s="2"/>
    </row>
    <row r="8" spans="1:12" ht="18.75" customHeight="1" x14ac:dyDescent="0.4">
      <c r="A8" s="350" t="s">
        <v>10</v>
      </c>
      <c r="B8" s="336"/>
      <c r="C8" s="349" t="s">
        <v>11</v>
      </c>
      <c r="D8" s="348" t="s">
        <v>12</v>
      </c>
      <c r="E8" s="335"/>
      <c r="F8" s="336"/>
      <c r="G8" s="351" t="s">
        <v>13</v>
      </c>
      <c r="H8" s="351" t="s">
        <v>14</v>
      </c>
      <c r="I8" s="358"/>
      <c r="J8" s="332"/>
      <c r="K8" s="330"/>
    </row>
    <row r="9" spans="1:12" ht="19.5" customHeight="1" x14ac:dyDescent="0.4">
      <c r="A9" s="337"/>
      <c r="B9" s="339"/>
      <c r="C9" s="342"/>
      <c r="D9" s="337"/>
      <c r="E9" s="338"/>
      <c r="F9" s="339"/>
      <c r="G9" s="342"/>
      <c r="H9" s="342"/>
      <c r="I9" s="12"/>
      <c r="J9" s="12"/>
      <c r="K9" s="12"/>
    </row>
    <row r="10" spans="1:12" ht="14.4" x14ac:dyDescent="0.3">
      <c r="A10" s="353" t="s">
        <v>19</v>
      </c>
      <c r="B10" s="13" t="s">
        <v>392</v>
      </c>
      <c r="C10" s="13">
        <v>3705</v>
      </c>
      <c r="D10" s="346">
        <f>D4</f>
        <v>200</v>
      </c>
      <c r="E10" s="332"/>
      <c r="F10" s="330"/>
      <c r="G10" s="13">
        <f>D5*2</f>
        <v>2</v>
      </c>
      <c r="H10" s="13">
        <v>45</v>
      </c>
      <c r="I10" s="13"/>
      <c r="J10" s="13"/>
      <c r="K10" s="14"/>
      <c r="L10" s="2"/>
    </row>
    <row r="11" spans="1:12" ht="14.4" x14ac:dyDescent="0.3">
      <c r="A11" s="354"/>
      <c r="B11" s="13" t="s">
        <v>393</v>
      </c>
      <c r="C11" s="13">
        <v>3705</v>
      </c>
      <c r="D11" s="346">
        <f>D3</f>
        <v>220</v>
      </c>
      <c r="E11" s="332"/>
      <c r="F11" s="330"/>
      <c r="G11" s="13">
        <f>D5*2</f>
        <v>2</v>
      </c>
      <c r="H11" s="13">
        <v>45</v>
      </c>
      <c r="I11" s="13"/>
      <c r="J11" s="13"/>
      <c r="K11" s="14"/>
    </row>
    <row r="12" spans="1:12" ht="14.4" x14ac:dyDescent="0.3">
      <c r="A12" s="342"/>
      <c r="B12" s="13"/>
      <c r="C12" s="13"/>
      <c r="D12" s="346"/>
      <c r="E12" s="332"/>
      <c r="F12" s="330"/>
      <c r="G12" s="13"/>
      <c r="H12" s="13"/>
      <c r="I12" s="13"/>
      <c r="J12" s="13"/>
      <c r="K12" s="14"/>
    </row>
    <row r="13" spans="1:12" ht="14.4" x14ac:dyDescent="0.3">
      <c r="A13" s="353" t="s">
        <v>29</v>
      </c>
      <c r="B13" s="13" t="s">
        <v>394</v>
      </c>
      <c r="C13" s="13">
        <v>3707</v>
      </c>
      <c r="D13" s="346">
        <f>D4/2-0.7</f>
        <v>99.3</v>
      </c>
      <c r="E13" s="332"/>
      <c r="F13" s="330"/>
      <c r="G13" s="13">
        <f>D5*4</f>
        <v>4</v>
      </c>
      <c r="H13" s="13">
        <v>45</v>
      </c>
      <c r="I13" s="13"/>
      <c r="J13" s="13"/>
      <c r="K13" s="14"/>
    </row>
    <row r="14" spans="1:12" ht="14.4" x14ac:dyDescent="0.3">
      <c r="A14" s="354"/>
      <c r="B14" s="13" t="s">
        <v>395</v>
      </c>
      <c r="C14" s="13">
        <v>3707</v>
      </c>
      <c r="D14" s="346">
        <f>D3-5.4</f>
        <v>214.6</v>
      </c>
      <c r="E14" s="332"/>
      <c r="F14" s="330"/>
      <c r="G14" s="13">
        <f>D5*2</f>
        <v>2</v>
      </c>
      <c r="H14" s="13">
        <v>45</v>
      </c>
      <c r="I14" s="13"/>
      <c r="J14" s="13"/>
      <c r="K14" s="14"/>
    </row>
    <row r="15" spans="1:12" ht="14.4" x14ac:dyDescent="0.3">
      <c r="A15" s="354"/>
      <c r="B15" s="13" t="s">
        <v>396</v>
      </c>
      <c r="C15" s="13">
        <v>3708</v>
      </c>
      <c r="D15" s="346">
        <f>D3-5.4</f>
        <v>214.6</v>
      </c>
      <c r="E15" s="332"/>
      <c r="F15" s="330"/>
      <c r="G15" s="13">
        <f>D5*2</f>
        <v>2</v>
      </c>
      <c r="H15" s="13">
        <v>45</v>
      </c>
      <c r="I15" s="13"/>
      <c r="J15" s="13"/>
      <c r="K15" s="14"/>
    </row>
    <row r="16" spans="1:12" ht="14.4" x14ac:dyDescent="0.3">
      <c r="A16" s="354"/>
      <c r="B16" s="13" t="s">
        <v>397</v>
      </c>
      <c r="C16" s="13">
        <v>3711</v>
      </c>
      <c r="D16" s="346">
        <f>D4-6.7</f>
        <v>193.3</v>
      </c>
      <c r="E16" s="332"/>
      <c r="F16" s="330"/>
      <c r="G16" s="13">
        <f>D5*2</f>
        <v>2</v>
      </c>
      <c r="H16" s="13">
        <v>90</v>
      </c>
      <c r="I16" s="13"/>
      <c r="J16" s="13"/>
      <c r="K16" s="14"/>
    </row>
    <row r="17" spans="1:14" ht="14.4" x14ac:dyDescent="0.3">
      <c r="A17" s="354"/>
      <c r="B17" s="13" t="s">
        <v>398</v>
      </c>
      <c r="C17" s="15">
        <v>3713</v>
      </c>
      <c r="D17" s="346">
        <f>D4-6.7</f>
        <v>193.3</v>
      </c>
      <c r="E17" s="332"/>
      <c r="F17" s="330"/>
      <c r="G17" s="13">
        <f>D5*2</f>
        <v>2</v>
      </c>
      <c r="H17" s="13">
        <v>90</v>
      </c>
      <c r="I17" s="15"/>
      <c r="J17" s="13"/>
      <c r="K17" s="14"/>
    </row>
    <row r="18" spans="1:14" ht="14.4" x14ac:dyDescent="0.3">
      <c r="A18" s="354"/>
      <c r="B18" s="13" t="s">
        <v>399</v>
      </c>
      <c r="C18" s="15">
        <v>3713</v>
      </c>
      <c r="D18" s="346">
        <f>D3-8.2</f>
        <v>211.8</v>
      </c>
      <c r="E18" s="332"/>
      <c r="F18" s="330"/>
      <c r="G18" s="13">
        <f>D5*2</f>
        <v>2</v>
      </c>
      <c r="H18" s="13">
        <v>90</v>
      </c>
      <c r="I18" s="214"/>
      <c r="J18" s="76"/>
      <c r="K18" s="215"/>
    </row>
    <row r="19" spans="1:14" ht="14.4" x14ac:dyDescent="0.3">
      <c r="A19" s="354"/>
      <c r="B19" s="13" t="s">
        <v>400</v>
      </c>
      <c r="C19" s="15">
        <v>3712</v>
      </c>
      <c r="D19" s="346">
        <f>D4-6.7</f>
        <v>193.3</v>
      </c>
      <c r="E19" s="332"/>
      <c r="F19" s="330"/>
      <c r="G19" s="13">
        <f>D5*2</f>
        <v>2</v>
      </c>
      <c r="H19" s="13">
        <v>90</v>
      </c>
      <c r="I19" s="214"/>
      <c r="J19" s="76"/>
      <c r="K19" s="215"/>
    </row>
    <row r="20" spans="1:14" ht="14.4" x14ac:dyDescent="0.3">
      <c r="A20" s="354"/>
      <c r="B20" s="13" t="s">
        <v>399</v>
      </c>
      <c r="C20" s="15">
        <v>3712</v>
      </c>
      <c r="D20" s="346">
        <f>D3-8.2</f>
        <v>211.8</v>
      </c>
      <c r="E20" s="332"/>
      <c r="F20" s="330"/>
      <c r="G20" s="13">
        <f>D5*4</f>
        <v>4</v>
      </c>
      <c r="H20" s="13">
        <v>90</v>
      </c>
      <c r="I20" s="214"/>
      <c r="J20" s="76"/>
      <c r="K20" s="215"/>
    </row>
    <row r="21" spans="1:14" ht="15.75" customHeight="1" x14ac:dyDescent="0.3">
      <c r="A21" s="342"/>
      <c r="B21" s="13" t="s">
        <v>401</v>
      </c>
      <c r="C21" s="15">
        <v>3714</v>
      </c>
      <c r="D21" s="346">
        <f>D4</f>
        <v>200</v>
      </c>
      <c r="E21" s="332"/>
      <c r="F21" s="330"/>
      <c r="G21" s="13">
        <f>D5*1</f>
        <v>1</v>
      </c>
      <c r="H21" s="13">
        <v>90</v>
      </c>
      <c r="I21" s="214"/>
      <c r="J21" s="76"/>
      <c r="K21" s="215"/>
    </row>
    <row r="22" spans="1:14" ht="16.5" customHeight="1" x14ac:dyDescent="0.3">
      <c r="A22" s="355" t="s">
        <v>39</v>
      </c>
      <c r="B22" s="359" t="s">
        <v>341</v>
      </c>
      <c r="C22" s="697" t="s">
        <v>402</v>
      </c>
      <c r="D22" s="16" t="s">
        <v>3</v>
      </c>
      <c r="E22" s="329" t="s">
        <v>41</v>
      </c>
      <c r="F22" s="330"/>
      <c r="G22" s="17"/>
      <c r="H22" s="18"/>
      <c r="I22" s="2"/>
      <c r="J22" s="2"/>
      <c r="K22" s="2"/>
    </row>
    <row r="23" spans="1:14" ht="15.75" customHeight="1" x14ac:dyDescent="0.3">
      <c r="A23" s="354"/>
      <c r="B23" s="354"/>
      <c r="C23" s="354"/>
      <c r="D23" s="528">
        <f>D3-16.5</f>
        <v>203.5</v>
      </c>
      <c r="E23" s="529">
        <f>D4/2-11.8</f>
        <v>88.2</v>
      </c>
      <c r="F23" s="336"/>
      <c r="G23" s="485">
        <f>D5*2</f>
        <v>2</v>
      </c>
      <c r="H23" s="485"/>
      <c r="I23" s="10"/>
      <c r="M23" s="2"/>
      <c r="N23" s="2"/>
    </row>
    <row r="24" spans="1:14" ht="15.75" customHeight="1" x14ac:dyDescent="0.3">
      <c r="A24" s="354"/>
      <c r="B24" s="354"/>
      <c r="C24" s="342"/>
      <c r="D24" s="342"/>
      <c r="E24" s="337"/>
      <c r="F24" s="339"/>
      <c r="G24" s="342"/>
      <c r="H24" s="342"/>
      <c r="I24" s="10"/>
      <c r="M24" s="2"/>
      <c r="N24" s="2"/>
    </row>
    <row r="25" spans="1:14" ht="15.75" customHeight="1" x14ac:dyDescent="0.3">
      <c r="A25" s="354"/>
      <c r="B25" s="354"/>
      <c r="C25" s="341" t="s">
        <v>403</v>
      </c>
      <c r="D25" s="528">
        <f>D3-17.5</f>
        <v>202.5</v>
      </c>
      <c r="E25" s="529">
        <f>D4/2-12.8</f>
        <v>87.2</v>
      </c>
      <c r="F25" s="336"/>
      <c r="G25" s="485">
        <f>D5*2</f>
        <v>2</v>
      </c>
      <c r="H25" s="485"/>
      <c r="I25" s="10"/>
      <c r="M25" s="2"/>
      <c r="N25" s="2"/>
    </row>
    <row r="26" spans="1:14" ht="15.75" customHeight="1" x14ac:dyDescent="0.3">
      <c r="A26" s="342"/>
      <c r="B26" s="342"/>
      <c r="C26" s="342"/>
      <c r="D26" s="342"/>
      <c r="E26" s="337"/>
      <c r="F26" s="339"/>
      <c r="G26" s="342"/>
      <c r="H26" s="342"/>
      <c r="I26" s="10"/>
      <c r="M26" s="2"/>
      <c r="N26" s="2"/>
    </row>
    <row r="27" spans="1:14" ht="15.75" customHeight="1" x14ac:dyDescent="0.3">
      <c r="A27" s="20" t="s">
        <v>42</v>
      </c>
      <c r="B27" s="13" t="s">
        <v>404</v>
      </c>
      <c r="C27" s="21"/>
      <c r="D27" s="356"/>
      <c r="E27" s="332"/>
      <c r="F27" s="330"/>
      <c r="G27" s="13">
        <f>(D23*4)+(E23*4)*D5</f>
        <v>1166.8</v>
      </c>
      <c r="H27" s="13" t="s">
        <v>43</v>
      </c>
      <c r="I27" s="10"/>
      <c r="M27" s="2"/>
      <c r="N27" s="2"/>
    </row>
    <row r="28" spans="1:14" ht="15.75" customHeight="1" x14ac:dyDescent="0.3">
      <c r="A28" s="20" t="s">
        <v>405</v>
      </c>
      <c r="B28" s="13" t="s">
        <v>406</v>
      </c>
      <c r="C28" s="13"/>
      <c r="D28" s="333"/>
      <c r="E28" s="332"/>
      <c r="F28" s="330"/>
      <c r="G28" s="13">
        <f>D5*4</f>
        <v>4</v>
      </c>
      <c r="H28" s="13"/>
      <c r="I28" s="352"/>
      <c r="J28" s="2"/>
      <c r="K28" s="2"/>
      <c r="L28" s="2"/>
      <c r="M28" s="2"/>
      <c r="N28" s="2"/>
    </row>
    <row r="29" spans="1:14" ht="15.75" customHeight="1" x14ac:dyDescent="0.3">
      <c r="A29" s="20"/>
      <c r="B29" s="13" t="s">
        <v>407</v>
      </c>
      <c r="C29" s="13"/>
      <c r="D29" s="23"/>
      <c r="E29" s="23"/>
      <c r="F29" s="24"/>
      <c r="G29" s="24">
        <f>D5*8</f>
        <v>8</v>
      </c>
      <c r="H29" s="13"/>
      <c r="I29" s="327"/>
      <c r="J29" s="2"/>
      <c r="K29" s="2"/>
      <c r="L29" s="2"/>
      <c r="M29" s="2"/>
      <c r="N29" s="2"/>
    </row>
    <row r="30" spans="1:14" ht="15.75" customHeight="1" x14ac:dyDescent="0.3">
      <c r="A30" s="20"/>
      <c r="B30" s="13" t="s">
        <v>408</v>
      </c>
      <c r="C30" s="13"/>
      <c r="D30" s="22"/>
      <c r="E30" s="25"/>
      <c r="F30" s="24"/>
      <c r="G30" s="24">
        <f>D5*1</f>
        <v>1</v>
      </c>
      <c r="H30" s="13"/>
      <c r="I30" s="327"/>
      <c r="J30" s="2"/>
      <c r="K30" s="2"/>
      <c r="L30" s="2"/>
      <c r="M30" s="2"/>
      <c r="N30" s="2"/>
    </row>
    <row r="31" spans="1:14" ht="15.75" customHeight="1" x14ac:dyDescent="0.3">
      <c r="A31" s="20"/>
      <c r="B31" s="13" t="s">
        <v>409</v>
      </c>
      <c r="C31" s="13"/>
      <c r="D31" s="27"/>
      <c r="E31" s="23"/>
      <c r="F31" s="28"/>
      <c r="G31" s="24">
        <f>D5*1</f>
        <v>1</v>
      </c>
      <c r="H31" s="13"/>
      <c r="I31" s="10"/>
      <c r="J31" s="2"/>
      <c r="K31" s="29"/>
      <c r="L31" s="2"/>
      <c r="M31" s="2"/>
      <c r="N31" s="2"/>
    </row>
    <row r="32" spans="1:14" ht="15.75" customHeight="1" x14ac:dyDescent="0.3">
      <c r="A32" s="20"/>
      <c r="B32" s="13" t="s">
        <v>410</v>
      </c>
      <c r="C32" s="13"/>
      <c r="D32" s="23"/>
      <c r="E32" s="23"/>
      <c r="F32" s="28"/>
      <c r="G32" s="24">
        <f>D5*1</f>
        <v>1</v>
      </c>
      <c r="H32" s="13"/>
      <c r="I32" s="10"/>
      <c r="J32" s="2"/>
      <c r="K32" s="29"/>
      <c r="L32" s="2"/>
      <c r="M32" s="2"/>
      <c r="N32" s="2"/>
    </row>
    <row r="33" spans="1:17" ht="15.75" customHeight="1" x14ac:dyDescent="0.3">
      <c r="A33" s="20"/>
      <c r="B33" s="13" t="s">
        <v>411</v>
      </c>
      <c r="C33" s="13"/>
      <c r="D33" s="23"/>
      <c r="E33" s="23"/>
      <c r="F33" s="28"/>
      <c r="G33" s="24">
        <f>D5*1</f>
        <v>1</v>
      </c>
      <c r="H33" s="13"/>
      <c r="I33" s="10"/>
      <c r="J33" s="2"/>
      <c r="K33" s="29"/>
      <c r="L33" s="2"/>
      <c r="M33" s="2"/>
      <c r="N33" s="2"/>
    </row>
    <row r="34" spans="1:17" ht="15.75" customHeight="1" x14ac:dyDescent="0.3">
      <c r="A34" s="20" t="s">
        <v>50</v>
      </c>
      <c r="B34" s="13" t="s">
        <v>412</v>
      </c>
      <c r="C34" s="13"/>
      <c r="D34" s="340"/>
      <c r="E34" s="332"/>
      <c r="F34" s="330"/>
      <c r="G34" s="24">
        <f>D5*2</f>
        <v>2</v>
      </c>
      <c r="H34" s="13"/>
      <c r="I34" s="10"/>
      <c r="J34" s="2"/>
      <c r="K34" s="2"/>
      <c r="L34" s="2"/>
      <c r="M34" s="2"/>
      <c r="N34" s="2"/>
    </row>
    <row r="35" spans="1:17" ht="15.75" customHeight="1" x14ac:dyDescent="0.3">
      <c r="A35" s="20" t="s">
        <v>413</v>
      </c>
      <c r="B35" s="30"/>
      <c r="C35" s="13"/>
      <c r="D35" s="22"/>
      <c r="E35" s="25"/>
      <c r="F35" s="24"/>
      <c r="G35" s="24">
        <f>D5*1</f>
        <v>1</v>
      </c>
      <c r="H35" s="13"/>
      <c r="I35" s="10"/>
      <c r="J35" s="2"/>
      <c r="K35" s="2"/>
      <c r="L35" s="2"/>
      <c r="M35" s="2"/>
      <c r="N35" s="2"/>
    </row>
    <row r="36" spans="1:17" ht="15.75" customHeight="1" x14ac:dyDescent="0.3">
      <c r="A36" s="20"/>
      <c r="B36" s="13"/>
      <c r="C36" s="13"/>
      <c r="D36" s="333"/>
      <c r="E36" s="332"/>
      <c r="F36" s="330"/>
      <c r="G36" s="24">
        <f>D5*4</f>
        <v>4</v>
      </c>
      <c r="H36" s="13"/>
      <c r="I36" s="10"/>
      <c r="J36" s="2"/>
      <c r="K36" s="2"/>
      <c r="L36" s="2"/>
      <c r="M36" s="2"/>
      <c r="N36" s="2"/>
    </row>
    <row r="37" spans="1:17" ht="15.75" customHeight="1" x14ac:dyDescent="0.3">
      <c r="A37" s="20"/>
      <c r="B37" s="13"/>
      <c r="C37" s="13"/>
      <c r="D37" s="333"/>
      <c r="E37" s="332"/>
      <c r="F37" s="330"/>
      <c r="G37" s="24"/>
      <c r="H37" s="13"/>
      <c r="I37" s="10"/>
      <c r="J37" s="2"/>
      <c r="K37" s="2"/>
      <c r="O37" s="2"/>
      <c r="P37" s="2"/>
      <c r="Q37" s="2"/>
    </row>
    <row r="38" spans="1:17" ht="15.75" customHeight="1" x14ac:dyDescent="0.3">
      <c r="A38" s="331" t="s">
        <v>56</v>
      </c>
      <c r="B38" s="330"/>
      <c r="C38" s="331"/>
      <c r="D38" s="332"/>
      <c r="E38" s="332"/>
      <c r="F38" s="332"/>
      <c r="G38" s="332"/>
      <c r="H38" s="330"/>
      <c r="I38" s="10"/>
      <c r="J38" s="2"/>
      <c r="K38" s="2"/>
    </row>
    <row r="39" spans="1:17" ht="15.75" customHeight="1" x14ac:dyDescent="0.3">
      <c r="A39" s="331" t="s">
        <v>57</v>
      </c>
      <c r="B39" s="330"/>
      <c r="C39" s="331"/>
      <c r="D39" s="332"/>
      <c r="E39" s="332"/>
      <c r="F39" s="332"/>
      <c r="G39" s="332"/>
      <c r="H39" s="330"/>
      <c r="I39" s="10"/>
      <c r="J39" s="2"/>
      <c r="K39" s="2"/>
    </row>
    <row r="40" spans="1:17" ht="15.75" customHeight="1" x14ac:dyDescent="0.3">
      <c r="A40" s="334" t="s">
        <v>58</v>
      </c>
      <c r="B40" s="335"/>
      <c r="C40" s="335"/>
      <c r="D40" s="335"/>
      <c r="E40" s="336"/>
      <c r="F40" s="331"/>
      <c r="G40" s="332"/>
      <c r="H40" s="330"/>
      <c r="I40" s="10"/>
      <c r="J40" s="2"/>
      <c r="K40" s="2"/>
    </row>
    <row r="41" spans="1:17" ht="15.75" customHeight="1" x14ac:dyDescent="0.3">
      <c r="A41" s="337"/>
      <c r="B41" s="338"/>
      <c r="C41" s="338"/>
      <c r="D41" s="338"/>
      <c r="E41" s="339"/>
      <c r="F41" s="331" t="s">
        <v>59</v>
      </c>
      <c r="G41" s="332"/>
      <c r="H41" s="330"/>
      <c r="I41" s="10"/>
      <c r="J41" s="2"/>
      <c r="K41" s="2"/>
    </row>
    <row r="42" spans="1:17" ht="15.75" customHeight="1" x14ac:dyDescent="0.3">
      <c r="A42" s="31"/>
      <c r="B42" s="32"/>
      <c r="C42" s="33"/>
      <c r="D42" s="32"/>
      <c r="E42" s="32"/>
      <c r="F42" s="32"/>
      <c r="G42" s="32"/>
      <c r="H42" s="32"/>
      <c r="I42" s="34"/>
      <c r="J42" s="2"/>
      <c r="K42" s="2"/>
    </row>
    <row r="43" spans="1:17" ht="15.75" customHeight="1" x14ac:dyDescent="0.3">
      <c r="A43" s="31"/>
      <c r="B43" s="32"/>
      <c r="C43" s="32"/>
      <c r="D43" s="32"/>
      <c r="E43" s="32"/>
      <c r="F43" s="326"/>
      <c r="G43" s="32"/>
      <c r="H43" s="32"/>
      <c r="I43" s="34"/>
      <c r="J43" s="2"/>
      <c r="K43" s="2"/>
    </row>
    <row r="44" spans="1:17" ht="15.75" customHeight="1" x14ac:dyDescent="0.3">
      <c r="A44" s="31"/>
      <c r="B44" s="32"/>
      <c r="C44" s="32"/>
      <c r="D44" s="32"/>
      <c r="E44" s="32"/>
      <c r="F44" s="327"/>
      <c r="G44" s="32"/>
      <c r="H44" s="32"/>
      <c r="I44" s="34"/>
      <c r="J44" s="2"/>
      <c r="K44" s="2"/>
    </row>
    <row r="45" spans="1:17" ht="15.75" customHeight="1" x14ac:dyDescent="0.3">
      <c r="A45" s="31"/>
      <c r="B45" s="32"/>
      <c r="C45" s="32"/>
      <c r="D45" s="32"/>
      <c r="E45" s="32"/>
      <c r="F45" s="327"/>
      <c r="G45" s="32"/>
      <c r="H45" s="32"/>
      <c r="I45" s="34"/>
      <c r="J45" s="2"/>
      <c r="K45" s="2"/>
    </row>
    <row r="46" spans="1:17" ht="15.75" customHeight="1" x14ac:dyDescent="0.4">
      <c r="A46" s="31"/>
      <c r="B46" s="32"/>
      <c r="C46" s="32"/>
      <c r="D46" s="32"/>
      <c r="E46" s="35"/>
      <c r="F46" s="327"/>
      <c r="G46" s="32"/>
      <c r="H46" s="32"/>
      <c r="I46" s="34"/>
      <c r="J46" s="2"/>
      <c r="K46" s="2"/>
    </row>
    <row r="47" spans="1:17" ht="15.75" customHeight="1" x14ac:dyDescent="0.3">
      <c r="A47" s="36"/>
      <c r="B47" s="32"/>
      <c r="C47" s="32"/>
      <c r="D47" s="32"/>
      <c r="E47" s="32"/>
      <c r="F47" s="327"/>
      <c r="G47" s="32"/>
      <c r="H47" s="32"/>
      <c r="I47" s="34"/>
      <c r="J47" s="2"/>
      <c r="K47" s="2"/>
    </row>
    <row r="48" spans="1:17" ht="15.75" customHeight="1" x14ac:dyDescent="0.3">
      <c r="A48" s="31"/>
      <c r="B48" s="32"/>
      <c r="C48" s="32"/>
      <c r="D48" s="32"/>
      <c r="E48" s="32"/>
      <c r="F48" s="327"/>
      <c r="G48" s="32"/>
      <c r="H48" s="32"/>
      <c r="I48" s="34"/>
      <c r="J48" s="2"/>
      <c r="K48" s="2"/>
    </row>
    <row r="49" spans="1:11" ht="15.75" customHeight="1" x14ac:dyDescent="0.3">
      <c r="A49" s="31"/>
      <c r="B49" s="32"/>
      <c r="C49" s="32"/>
      <c r="D49" s="32"/>
      <c r="E49" s="32"/>
      <c r="F49" s="327"/>
      <c r="G49" s="32"/>
      <c r="H49" s="32"/>
      <c r="I49" s="34"/>
      <c r="J49" s="2"/>
      <c r="K49" s="2"/>
    </row>
    <row r="50" spans="1:11" ht="15.75" customHeight="1" x14ac:dyDescent="0.3">
      <c r="A50" s="31"/>
      <c r="B50" s="32"/>
      <c r="C50" s="32"/>
      <c r="D50" s="32"/>
      <c r="E50" s="32"/>
      <c r="F50" s="327"/>
      <c r="G50" s="32"/>
      <c r="H50" s="32"/>
      <c r="I50" s="34"/>
      <c r="J50" s="2"/>
      <c r="K50" s="2"/>
    </row>
    <row r="51" spans="1:11" ht="15.75" customHeight="1" x14ac:dyDescent="0.3">
      <c r="A51" s="31"/>
      <c r="B51" s="32"/>
      <c r="C51" s="32"/>
      <c r="D51" s="32"/>
      <c r="E51" s="32"/>
      <c r="F51" s="327"/>
      <c r="G51" s="32"/>
      <c r="H51" s="32"/>
      <c r="I51" s="34"/>
      <c r="J51" s="2"/>
      <c r="K51" s="2"/>
    </row>
    <row r="52" spans="1:11" ht="15.75" customHeight="1" x14ac:dyDescent="0.3">
      <c r="A52" s="31"/>
      <c r="B52" s="32"/>
      <c r="C52" s="32"/>
      <c r="D52" s="32"/>
      <c r="E52" s="32"/>
      <c r="F52" s="327"/>
      <c r="G52" s="32"/>
      <c r="H52" s="32"/>
      <c r="I52" s="34"/>
      <c r="J52" s="2"/>
      <c r="K52" s="2"/>
    </row>
    <row r="53" spans="1:11" ht="15.75" customHeight="1" x14ac:dyDescent="0.4">
      <c r="A53" s="31"/>
      <c r="B53" s="328"/>
      <c r="C53" s="327"/>
      <c r="D53" s="327"/>
      <c r="E53" s="32"/>
      <c r="F53" s="2"/>
      <c r="G53" s="32"/>
      <c r="H53" s="32"/>
      <c r="I53" s="34"/>
      <c r="J53" s="2"/>
      <c r="K53" s="2"/>
    </row>
    <row r="54" spans="1:11" ht="15.75" customHeight="1" x14ac:dyDescent="0.3">
      <c r="A54" s="31"/>
      <c r="B54" s="32"/>
      <c r="C54" s="33"/>
      <c r="D54" s="32"/>
      <c r="E54" s="32"/>
      <c r="F54" s="32"/>
      <c r="G54" s="32"/>
      <c r="H54" s="32"/>
      <c r="I54" s="34"/>
      <c r="J54" s="2"/>
      <c r="K54" s="2"/>
    </row>
    <row r="55" spans="1:11" ht="15.75" customHeight="1" x14ac:dyDescent="0.3"/>
    <row r="56" spans="1:11" ht="15.75" customHeight="1" x14ac:dyDescent="0.3"/>
    <row r="57" spans="1:11" ht="15.75" customHeight="1" x14ac:dyDescent="0.3"/>
    <row r="58" spans="1:11" ht="15.75" customHeight="1" x14ac:dyDescent="0.3"/>
    <row r="59" spans="1:11" ht="15.75" customHeight="1" x14ac:dyDescent="0.3"/>
    <row r="60" spans="1:11" ht="15.75" customHeight="1" x14ac:dyDescent="0.3"/>
    <row r="61" spans="1:11" ht="15.75" customHeight="1" x14ac:dyDescent="0.3"/>
    <row r="62" spans="1:11" ht="15.75" customHeight="1" x14ac:dyDescent="0.3"/>
    <row r="63" spans="1:11" ht="15.75" customHeight="1" x14ac:dyDescent="0.3"/>
    <row r="64" spans="1:11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</sheetData>
  <mergeCells count="60">
    <mergeCell ref="I8:K8"/>
    <mergeCell ref="A10:A12"/>
    <mergeCell ref="A22:A26"/>
    <mergeCell ref="G23:G24"/>
    <mergeCell ref="H25:H26"/>
    <mergeCell ref="H23:H24"/>
    <mergeCell ref="C25:C26"/>
    <mergeCell ref="B22:B26"/>
    <mergeCell ref="D15:F15"/>
    <mergeCell ref="D18:F18"/>
    <mergeCell ref="D17:F17"/>
    <mergeCell ref="D12:F12"/>
    <mergeCell ref="D13:F13"/>
    <mergeCell ref="C22:C24"/>
    <mergeCell ref="D25:D26"/>
    <mergeCell ref="E22:F22"/>
    <mergeCell ref="D14:F14"/>
    <mergeCell ref="A4:C4"/>
    <mergeCell ref="E5:H5"/>
    <mergeCell ref="C7:H7"/>
    <mergeCell ref="C6:H6"/>
    <mergeCell ref="E4:H4"/>
    <mergeCell ref="A1:H1"/>
    <mergeCell ref="A5:C5"/>
    <mergeCell ref="A7:B7"/>
    <mergeCell ref="A6:B6"/>
    <mergeCell ref="C8:C9"/>
    <mergeCell ref="A8:B9"/>
    <mergeCell ref="D8:F9"/>
    <mergeCell ref="G8:G9"/>
    <mergeCell ref="H8:H9"/>
    <mergeCell ref="A3:C3"/>
    <mergeCell ref="E3:H3"/>
    <mergeCell ref="F43:F52"/>
    <mergeCell ref="B53:D53"/>
    <mergeCell ref="I28:I30"/>
    <mergeCell ref="D37:F37"/>
    <mergeCell ref="A2:H2"/>
    <mergeCell ref="D21:F21"/>
    <mergeCell ref="D16:F16"/>
    <mergeCell ref="D19:F19"/>
    <mergeCell ref="D20:F20"/>
    <mergeCell ref="D11:F11"/>
    <mergeCell ref="D10:F10"/>
    <mergeCell ref="G25:G26"/>
    <mergeCell ref="D28:F28"/>
    <mergeCell ref="D27:F27"/>
    <mergeCell ref="D23:D24"/>
    <mergeCell ref="A13:A21"/>
    <mergeCell ref="E23:F24"/>
    <mergeCell ref="E25:F26"/>
    <mergeCell ref="F40:H40"/>
    <mergeCell ref="C38:H38"/>
    <mergeCell ref="C39:H39"/>
    <mergeCell ref="A38:B38"/>
    <mergeCell ref="A40:E41"/>
    <mergeCell ref="A39:B39"/>
    <mergeCell ref="F41:H41"/>
    <mergeCell ref="D34:F34"/>
    <mergeCell ref="D36:F36"/>
  </mergeCells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28.6640625" customWidth="1"/>
    <col min="2" max="2" width="19.6640625" customWidth="1"/>
    <col min="3" max="3" width="11.6640625" customWidth="1"/>
    <col min="4" max="4" width="7.33203125" customWidth="1"/>
    <col min="5" max="5" width="7.5546875" customWidth="1"/>
    <col min="6" max="6" width="6.33203125" customWidth="1"/>
    <col min="7" max="7" width="12.44140625" customWidth="1"/>
    <col min="8" max="8" width="8.5546875" customWidth="1"/>
  </cols>
  <sheetData>
    <row r="1" spans="1:8" ht="23.4" x14ac:dyDescent="0.45">
      <c r="A1" s="124" t="s">
        <v>169</v>
      </c>
      <c r="B1" s="622"/>
      <c r="C1" s="332"/>
      <c r="D1" s="145"/>
      <c r="E1" s="145"/>
      <c r="F1" s="145"/>
      <c r="G1" s="145"/>
    </row>
    <row r="2" spans="1:8" ht="21" x14ac:dyDescent="0.4">
      <c r="A2" s="343" t="s">
        <v>415</v>
      </c>
      <c r="B2" s="332"/>
      <c r="C2" s="332"/>
      <c r="D2" s="332"/>
      <c r="E2" s="332"/>
      <c r="F2" s="332"/>
      <c r="G2" s="330"/>
    </row>
    <row r="3" spans="1:8" ht="22.8" x14ac:dyDescent="0.4">
      <c r="A3" s="73" t="s">
        <v>3</v>
      </c>
      <c r="B3" s="154"/>
      <c r="C3" s="155">
        <v>200</v>
      </c>
      <c r="D3" s="489" t="s">
        <v>4</v>
      </c>
      <c r="E3" s="332"/>
      <c r="F3" s="332"/>
      <c r="G3" s="330"/>
      <c r="H3" s="127"/>
    </row>
    <row r="4" spans="1:8" ht="21" x14ac:dyDescent="0.4">
      <c r="A4" s="11" t="s">
        <v>6</v>
      </c>
      <c r="B4" s="154"/>
      <c r="C4" s="155">
        <v>90</v>
      </c>
      <c r="D4" s="489" t="s">
        <v>4</v>
      </c>
      <c r="E4" s="332"/>
      <c r="F4" s="332"/>
      <c r="G4" s="330"/>
    </row>
    <row r="5" spans="1:8" ht="21" x14ac:dyDescent="0.4">
      <c r="A5" s="347" t="s">
        <v>7</v>
      </c>
      <c r="B5" s="330"/>
      <c r="C5" s="155">
        <v>1</v>
      </c>
      <c r="D5" s="489" t="s">
        <v>416</v>
      </c>
      <c r="E5" s="332"/>
      <c r="F5" s="332"/>
      <c r="G5" s="330"/>
    </row>
    <row r="6" spans="1:8" ht="21" x14ac:dyDescent="0.4">
      <c r="A6" s="345" t="s">
        <v>72</v>
      </c>
      <c r="B6" s="330"/>
      <c r="C6" s="489" t="s">
        <v>417</v>
      </c>
      <c r="D6" s="332"/>
      <c r="E6" s="332"/>
      <c r="F6" s="332"/>
      <c r="G6" s="330"/>
    </row>
    <row r="7" spans="1:8" ht="21" x14ac:dyDescent="0.4">
      <c r="A7" s="345" t="s">
        <v>9</v>
      </c>
      <c r="B7" s="330"/>
      <c r="C7" s="345" t="s">
        <v>148</v>
      </c>
      <c r="D7" s="332"/>
      <c r="E7" s="332"/>
      <c r="F7" s="332"/>
      <c r="G7" s="330"/>
    </row>
    <row r="8" spans="1:8" ht="15" customHeight="1" x14ac:dyDescent="0.3">
      <c r="A8" s="350" t="s">
        <v>10</v>
      </c>
      <c r="B8" s="336"/>
      <c r="C8" s="353" t="s">
        <v>11</v>
      </c>
      <c r="D8" s="616" t="s">
        <v>171</v>
      </c>
      <c r="E8" s="336"/>
      <c r="F8" s="363" t="s">
        <v>13</v>
      </c>
      <c r="G8" s="617" t="s">
        <v>14</v>
      </c>
    </row>
    <row r="9" spans="1:8" ht="14.4" x14ac:dyDescent="0.3">
      <c r="A9" s="337"/>
      <c r="B9" s="339"/>
      <c r="C9" s="342"/>
      <c r="D9" s="337"/>
      <c r="E9" s="339"/>
      <c r="F9" s="342"/>
      <c r="G9" s="342"/>
    </row>
    <row r="10" spans="1:8" ht="14.4" x14ac:dyDescent="0.3">
      <c r="A10" s="349" t="s">
        <v>19</v>
      </c>
      <c r="B10" s="638" t="s">
        <v>418</v>
      </c>
      <c r="C10" s="363">
        <v>58</v>
      </c>
      <c r="D10" s="698">
        <f>C4</f>
        <v>90</v>
      </c>
      <c r="E10" s="336"/>
      <c r="F10" s="612">
        <f>C5*1</f>
        <v>1</v>
      </c>
      <c r="G10" s="363">
        <v>45</v>
      </c>
    </row>
    <row r="11" spans="1:8" ht="14.4" x14ac:dyDescent="0.3">
      <c r="A11" s="354"/>
      <c r="B11" s="337"/>
      <c r="C11" s="342"/>
      <c r="D11" s="338"/>
      <c r="E11" s="339"/>
      <c r="F11" s="342"/>
      <c r="G11" s="354"/>
    </row>
    <row r="12" spans="1:8" ht="14.4" x14ac:dyDescent="0.3">
      <c r="A12" s="354"/>
      <c r="B12" s="638" t="s">
        <v>419</v>
      </c>
      <c r="C12" s="363">
        <v>58</v>
      </c>
      <c r="D12" s="698">
        <f>C3</f>
        <v>200</v>
      </c>
      <c r="E12" s="336"/>
      <c r="F12" s="612">
        <f>C5*2</f>
        <v>2</v>
      </c>
      <c r="G12" s="354"/>
    </row>
    <row r="13" spans="1:8" ht="14.4" x14ac:dyDescent="0.3">
      <c r="A13" s="342"/>
      <c r="B13" s="337"/>
      <c r="C13" s="342"/>
      <c r="D13" s="338"/>
      <c r="E13" s="339"/>
      <c r="F13" s="342"/>
      <c r="G13" s="354"/>
    </row>
    <row r="14" spans="1:8" ht="15" customHeight="1" x14ac:dyDescent="0.25">
      <c r="A14" s="349" t="s">
        <v>205</v>
      </c>
      <c r="B14" s="156" t="s">
        <v>420</v>
      </c>
      <c r="C14" s="220">
        <v>1867</v>
      </c>
      <c r="D14" s="346">
        <f>C4-7.6</f>
        <v>82.4</v>
      </c>
      <c r="E14" s="330"/>
      <c r="F14" s="13">
        <f>C5*2</f>
        <v>2</v>
      </c>
      <c r="G14" s="354"/>
    </row>
    <row r="15" spans="1:8" ht="14.4" x14ac:dyDescent="0.3">
      <c r="A15" s="354"/>
      <c r="B15" s="156" t="s">
        <v>421</v>
      </c>
      <c r="C15" s="221">
        <v>1867</v>
      </c>
      <c r="D15" s="346">
        <f>C3-4.2</f>
        <v>195.8</v>
      </c>
      <c r="E15" s="330"/>
      <c r="F15" s="13">
        <f>C5*2</f>
        <v>2</v>
      </c>
      <c r="G15" s="354"/>
    </row>
    <row r="16" spans="1:8" ht="14.4" x14ac:dyDescent="0.3">
      <c r="A16" s="354"/>
      <c r="B16" s="61"/>
      <c r="C16" s="21"/>
      <c r="D16" s="346"/>
      <c r="E16" s="330"/>
      <c r="F16" s="13"/>
      <c r="G16" s="342"/>
    </row>
    <row r="17" spans="1:7" ht="14.4" x14ac:dyDescent="0.25">
      <c r="A17" s="354"/>
      <c r="B17" s="363"/>
      <c r="C17" s="612"/>
      <c r="D17" s="346"/>
      <c r="E17" s="330"/>
      <c r="F17" s="13"/>
      <c r="G17" s="363"/>
    </row>
    <row r="18" spans="1:7" ht="14.4" x14ac:dyDescent="0.25">
      <c r="A18" s="354"/>
      <c r="B18" s="354"/>
      <c r="C18" s="354"/>
      <c r="D18" s="346"/>
      <c r="E18" s="330"/>
      <c r="F18" s="13"/>
      <c r="G18" s="354"/>
    </row>
    <row r="19" spans="1:7" ht="14.4" x14ac:dyDescent="0.25">
      <c r="A19" s="342"/>
      <c r="B19" s="342"/>
      <c r="C19" s="342"/>
      <c r="D19" s="346"/>
      <c r="E19" s="330"/>
      <c r="F19" s="13"/>
      <c r="G19" s="342"/>
    </row>
    <row r="20" spans="1:7" ht="14.4" x14ac:dyDescent="0.25">
      <c r="A20" s="349" t="s">
        <v>181</v>
      </c>
      <c r="B20" s="61" t="s">
        <v>182</v>
      </c>
      <c r="C20" s="612">
        <v>1881</v>
      </c>
      <c r="D20" s="346">
        <f>C4-22.8</f>
        <v>67.2</v>
      </c>
      <c r="E20" s="330"/>
      <c r="F20" s="13">
        <f>C5*2</f>
        <v>2</v>
      </c>
      <c r="G20" s="61">
        <v>90</v>
      </c>
    </row>
    <row r="21" spans="1:7" ht="15.75" customHeight="1" x14ac:dyDescent="0.25">
      <c r="A21" s="354"/>
      <c r="B21" s="61" t="s">
        <v>422</v>
      </c>
      <c r="C21" s="354"/>
      <c r="D21" s="346">
        <f>C3-23.4</f>
        <v>176.6</v>
      </c>
      <c r="E21" s="330"/>
      <c r="F21" s="13">
        <v>2</v>
      </c>
      <c r="G21" s="61">
        <v>90</v>
      </c>
    </row>
    <row r="22" spans="1:7" ht="15.75" customHeight="1" x14ac:dyDescent="0.25">
      <c r="A22" s="354"/>
      <c r="B22" s="61"/>
      <c r="C22" s="354"/>
      <c r="D22" s="346"/>
      <c r="E22" s="330"/>
      <c r="F22" s="13"/>
      <c r="G22" s="61"/>
    </row>
    <row r="23" spans="1:7" ht="15.75" customHeight="1" x14ac:dyDescent="0.25">
      <c r="A23" s="630"/>
      <c r="B23" s="13"/>
      <c r="C23" s="13"/>
      <c r="D23" s="628"/>
      <c r="E23" s="330"/>
      <c r="F23" s="13"/>
      <c r="G23" s="13"/>
    </row>
    <row r="24" spans="1:7" ht="15.75" customHeight="1" x14ac:dyDescent="0.25">
      <c r="A24" s="354"/>
      <c r="B24" s="612"/>
      <c r="C24" s="158"/>
      <c r="D24" s="629"/>
      <c r="E24" s="330"/>
      <c r="F24" s="159"/>
      <c r="G24" s="363"/>
    </row>
    <row r="25" spans="1:7" ht="15.75" customHeight="1" x14ac:dyDescent="0.25">
      <c r="A25" s="342"/>
      <c r="B25" s="342"/>
      <c r="C25" s="160"/>
      <c r="D25" s="629"/>
      <c r="E25" s="330"/>
      <c r="F25" s="159"/>
      <c r="G25" s="342"/>
    </row>
    <row r="26" spans="1:7" ht="15.75" customHeight="1" x14ac:dyDescent="0.25">
      <c r="A26" s="139"/>
      <c r="B26" s="13"/>
      <c r="C26" s="61"/>
      <c r="D26" s="628"/>
      <c r="E26" s="330"/>
      <c r="F26" s="13"/>
      <c r="G26" s="61"/>
    </row>
    <row r="27" spans="1:7" ht="15.75" customHeight="1" x14ac:dyDescent="0.25">
      <c r="A27" s="139"/>
      <c r="B27" s="13"/>
      <c r="C27" s="61"/>
      <c r="D27" s="333"/>
      <c r="E27" s="330"/>
      <c r="F27" s="53"/>
      <c r="G27" s="61"/>
    </row>
    <row r="28" spans="1:7" ht="15.75" customHeight="1" x14ac:dyDescent="0.25">
      <c r="A28" s="374"/>
      <c r="B28" s="13"/>
      <c r="C28" s="13"/>
      <c r="D28" s="333"/>
      <c r="E28" s="330"/>
      <c r="F28" s="13"/>
      <c r="G28" s="13"/>
    </row>
    <row r="29" spans="1:7" ht="15.75" customHeight="1" x14ac:dyDescent="0.25">
      <c r="A29" s="342"/>
      <c r="B29" s="13"/>
      <c r="C29" s="13"/>
      <c r="D29" s="333"/>
      <c r="E29" s="330"/>
      <c r="F29" s="13"/>
      <c r="G29" s="13"/>
    </row>
    <row r="30" spans="1:7" ht="15.75" customHeight="1" x14ac:dyDescent="0.25">
      <c r="A30" s="374"/>
      <c r="B30" s="13"/>
      <c r="C30" s="13"/>
      <c r="D30" s="333"/>
      <c r="E30" s="330"/>
      <c r="F30" s="13"/>
      <c r="G30" s="13"/>
    </row>
    <row r="31" spans="1:7" ht="15.75" customHeight="1" x14ac:dyDescent="0.25">
      <c r="A31" s="342"/>
      <c r="B31" s="13"/>
      <c r="C31" s="13"/>
      <c r="D31" s="333"/>
      <c r="E31" s="330"/>
      <c r="F31" s="13"/>
      <c r="G31" s="13"/>
    </row>
    <row r="32" spans="1:7" ht="15.75" customHeight="1" x14ac:dyDescent="0.3">
      <c r="A32" s="140"/>
      <c r="B32" s="13"/>
      <c r="C32" s="13"/>
      <c r="D32" s="333"/>
      <c r="E32" s="330"/>
      <c r="F32" s="13"/>
      <c r="G32" s="13"/>
    </row>
    <row r="33" spans="1:7" ht="15.75" customHeight="1" x14ac:dyDescent="0.3">
      <c r="A33" s="140"/>
      <c r="B33" s="13"/>
      <c r="C33" s="13"/>
      <c r="D33" s="333"/>
      <c r="E33" s="330"/>
      <c r="F33" s="13"/>
      <c r="G33" s="13"/>
    </row>
    <row r="34" spans="1:7" ht="15.75" customHeight="1" x14ac:dyDescent="0.3">
      <c r="A34" s="141" t="s">
        <v>423</v>
      </c>
      <c r="B34" s="611"/>
      <c r="C34" s="332"/>
      <c r="D34" s="332"/>
      <c r="E34" s="332"/>
      <c r="F34" s="332"/>
      <c r="G34" s="330"/>
    </row>
    <row r="35" spans="1:7" ht="15.75" customHeight="1" x14ac:dyDescent="0.3">
      <c r="A35" s="141" t="s">
        <v>57</v>
      </c>
      <c r="B35" s="611"/>
      <c r="C35" s="332"/>
      <c r="D35" s="332"/>
      <c r="E35" s="332"/>
      <c r="F35" s="332"/>
      <c r="G35" s="330"/>
    </row>
    <row r="36" spans="1:7" ht="15.75" customHeight="1" x14ac:dyDescent="0.3">
      <c r="A36" s="334" t="s">
        <v>58</v>
      </c>
      <c r="B36" s="335"/>
      <c r="C36" s="335"/>
      <c r="D36" s="335"/>
      <c r="E36" s="336"/>
      <c r="F36" s="331"/>
      <c r="G36" s="330"/>
    </row>
    <row r="37" spans="1:7" ht="15.75" customHeight="1" x14ac:dyDescent="0.3">
      <c r="A37" s="337"/>
      <c r="B37" s="338"/>
      <c r="C37" s="338"/>
      <c r="D37" s="338"/>
      <c r="E37" s="339"/>
      <c r="F37" s="331" t="s">
        <v>59</v>
      </c>
      <c r="G37" s="330"/>
    </row>
    <row r="38" spans="1:7" ht="15.75" customHeight="1" x14ac:dyDescent="0.3">
      <c r="A38" s="31"/>
      <c r="B38" s="32"/>
      <c r="C38" s="484"/>
      <c r="D38" s="327"/>
      <c r="E38" s="142"/>
      <c r="F38" s="142"/>
      <c r="G38" s="142"/>
    </row>
    <row r="39" spans="1:7" ht="15.75" customHeight="1" x14ac:dyDescent="0.3">
      <c r="A39" s="31"/>
      <c r="B39" s="32"/>
      <c r="C39" s="2"/>
      <c r="D39" s="142"/>
      <c r="E39" s="142"/>
      <c r="F39" s="142"/>
      <c r="G39" s="142"/>
    </row>
    <row r="40" spans="1:7" ht="15.75" customHeight="1" x14ac:dyDescent="0.3">
      <c r="A40" s="31"/>
      <c r="B40" s="32"/>
      <c r="C40" s="142"/>
      <c r="D40" s="142"/>
      <c r="E40" s="609"/>
      <c r="F40" s="142"/>
      <c r="G40" s="142"/>
    </row>
    <row r="41" spans="1:7" ht="15.75" customHeight="1" x14ac:dyDescent="0.3">
      <c r="A41" s="31"/>
      <c r="B41" s="32"/>
      <c r="C41" s="142"/>
      <c r="D41" s="142"/>
      <c r="E41" s="327"/>
      <c r="F41" s="142"/>
      <c r="G41" s="142"/>
    </row>
    <row r="42" spans="1:7" ht="15.75" customHeight="1" x14ac:dyDescent="0.3">
      <c r="A42" s="31"/>
      <c r="B42" s="32"/>
      <c r="C42" s="142"/>
      <c r="D42" s="142"/>
      <c r="E42" s="327"/>
      <c r="F42" s="142"/>
      <c r="G42" s="142"/>
    </row>
    <row r="43" spans="1:7" ht="15.75" customHeight="1" x14ac:dyDescent="0.3">
      <c r="A43" s="31"/>
      <c r="B43" s="32"/>
      <c r="C43" s="142"/>
      <c r="D43" s="142"/>
      <c r="E43" s="327"/>
      <c r="F43" s="142"/>
      <c r="G43" s="142"/>
    </row>
    <row r="44" spans="1:7" ht="15.75" customHeight="1" x14ac:dyDescent="0.35">
      <c r="A44" s="31"/>
      <c r="B44" s="32"/>
      <c r="C44" s="161"/>
      <c r="D44" s="142"/>
      <c r="E44" s="327"/>
      <c r="F44" s="142"/>
      <c r="G44" s="142"/>
    </row>
    <row r="45" spans="1:7" ht="15.75" customHeight="1" x14ac:dyDescent="0.3">
      <c r="A45" s="31"/>
      <c r="B45" s="32"/>
      <c r="C45" s="142"/>
      <c r="D45" s="142"/>
      <c r="E45" s="327"/>
      <c r="F45" s="142"/>
      <c r="G45" s="142"/>
    </row>
    <row r="46" spans="1:7" ht="15.75" customHeight="1" x14ac:dyDescent="0.3">
      <c r="A46" s="31"/>
      <c r="B46" s="32"/>
      <c r="C46" s="142"/>
      <c r="D46" s="142"/>
      <c r="E46" s="327"/>
      <c r="F46" s="142"/>
      <c r="G46" s="142"/>
    </row>
    <row r="47" spans="1:7" ht="15.75" customHeight="1" x14ac:dyDescent="0.3">
      <c r="A47" s="31"/>
      <c r="B47" s="32"/>
      <c r="C47" s="142"/>
      <c r="D47" s="142"/>
      <c r="E47" s="142"/>
      <c r="F47" s="142"/>
      <c r="G47" s="142"/>
    </row>
    <row r="48" spans="1:7" ht="15.75" customHeight="1" x14ac:dyDescent="0.3">
      <c r="A48" s="31"/>
      <c r="B48" s="32"/>
      <c r="C48" s="484"/>
      <c r="D48" s="327"/>
      <c r="E48" s="142"/>
      <c r="F48" s="142"/>
      <c r="G48" s="142"/>
    </row>
    <row r="49" spans="1:7" ht="15.75" customHeight="1" x14ac:dyDescent="0.3">
      <c r="A49" s="31"/>
      <c r="B49" s="32"/>
      <c r="C49" s="142"/>
      <c r="D49" s="142"/>
      <c r="E49" s="142"/>
      <c r="F49" s="142"/>
      <c r="G49" s="142"/>
    </row>
    <row r="50" spans="1:7" ht="15.75" customHeight="1" x14ac:dyDescent="0.3">
      <c r="A50" s="31"/>
      <c r="B50" s="32"/>
      <c r="C50" s="143"/>
      <c r="D50" s="142"/>
      <c r="E50" s="142"/>
      <c r="F50" s="142"/>
      <c r="G50" s="142"/>
    </row>
    <row r="51" spans="1:7" ht="15.75" customHeight="1" x14ac:dyDescent="0.3">
      <c r="A51" s="31"/>
      <c r="B51" s="32"/>
      <c r="C51" s="142"/>
      <c r="D51" s="142"/>
      <c r="E51" s="142"/>
      <c r="F51" s="142"/>
      <c r="G51" s="142"/>
    </row>
    <row r="52" spans="1:7" ht="15.75" customHeight="1" x14ac:dyDescent="0.4">
      <c r="B52" s="35"/>
    </row>
    <row r="53" spans="1:7" ht="15.75" customHeight="1" x14ac:dyDescent="0.3"/>
    <row r="54" spans="1:7" ht="15.75" customHeight="1" x14ac:dyDescent="0.3"/>
    <row r="55" spans="1:7" ht="15.75" customHeight="1" x14ac:dyDescent="0.3"/>
    <row r="56" spans="1:7" ht="15.75" customHeight="1" x14ac:dyDescent="0.3"/>
    <row r="57" spans="1:7" ht="15.75" customHeight="1" x14ac:dyDescent="0.3"/>
    <row r="58" spans="1:7" ht="15.75" customHeight="1" x14ac:dyDescent="0.3"/>
    <row r="59" spans="1:7" ht="15.75" customHeight="1" x14ac:dyDescent="0.3"/>
    <row r="60" spans="1:7" ht="15.75" customHeight="1" x14ac:dyDescent="0.3"/>
    <row r="61" spans="1:7" ht="15.75" customHeight="1" x14ac:dyDescent="0.3"/>
    <row r="62" spans="1:7" ht="15.75" customHeight="1" x14ac:dyDescent="0.3"/>
    <row r="63" spans="1:7" ht="15.75" customHeight="1" x14ac:dyDescent="0.3"/>
    <row r="64" spans="1: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</sheetData>
  <mergeCells count="64">
    <mergeCell ref="D24:E24"/>
    <mergeCell ref="D23:E23"/>
    <mergeCell ref="G24:G25"/>
    <mergeCell ref="D26:E26"/>
    <mergeCell ref="G17:G19"/>
    <mergeCell ref="D27:E27"/>
    <mergeCell ref="D17:E17"/>
    <mergeCell ref="D16:E16"/>
    <mergeCell ref="D12:E13"/>
    <mergeCell ref="A20:A22"/>
    <mergeCell ref="A23:A25"/>
    <mergeCell ref="B17:B19"/>
    <mergeCell ref="D20:E20"/>
    <mergeCell ref="D21:E21"/>
    <mergeCell ref="D22:E22"/>
    <mergeCell ref="A14:A19"/>
    <mergeCell ref="C20:C22"/>
    <mergeCell ref="B24:B25"/>
    <mergeCell ref="D25:E25"/>
    <mergeCell ref="D19:E19"/>
    <mergeCell ref="D18:E18"/>
    <mergeCell ref="D4:G4"/>
    <mergeCell ref="D3:G3"/>
    <mergeCell ref="A2:G2"/>
    <mergeCell ref="G8:G9"/>
    <mergeCell ref="G10:G16"/>
    <mergeCell ref="C6:G6"/>
    <mergeCell ref="D15:E15"/>
    <mergeCell ref="D10:E11"/>
    <mergeCell ref="D8:E9"/>
    <mergeCell ref="F8:F9"/>
    <mergeCell ref="F10:F11"/>
    <mergeCell ref="D5:G5"/>
    <mergeCell ref="C7:G7"/>
    <mergeCell ref="D14:E14"/>
    <mergeCell ref="F12:F13"/>
    <mergeCell ref="C17:C19"/>
    <mergeCell ref="C12:C13"/>
    <mergeCell ref="B12:B13"/>
    <mergeCell ref="B1:C1"/>
    <mergeCell ref="C8:C9"/>
    <mergeCell ref="C10:C11"/>
    <mergeCell ref="A7:B7"/>
    <mergeCell ref="A8:B9"/>
    <mergeCell ref="B10:B11"/>
    <mergeCell ref="A5:B5"/>
    <mergeCell ref="A6:B6"/>
    <mergeCell ref="A10:A13"/>
    <mergeCell ref="D29:E29"/>
    <mergeCell ref="A28:A29"/>
    <mergeCell ref="D28:E28"/>
    <mergeCell ref="F37:G37"/>
    <mergeCell ref="A30:A31"/>
    <mergeCell ref="D31:E31"/>
    <mergeCell ref="D32:E32"/>
    <mergeCell ref="F36:G36"/>
    <mergeCell ref="A36:E37"/>
    <mergeCell ref="D30:E30"/>
    <mergeCell ref="C48:D48"/>
    <mergeCell ref="E40:E46"/>
    <mergeCell ref="D33:E33"/>
    <mergeCell ref="C38:D38"/>
    <mergeCell ref="B34:G34"/>
    <mergeCell ref="B35:G35"/>
  </mergeCell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 x14ac:dyDescent="0.3"/>
  <cols>
    <col min="1" max="1" width="28.6640625" customWidth="1"/>
    <col min="2" max="2" width="19.6640625" customWidth="1"/>
    <col min="3" max="3" width="11.6640625" customWidth="1"/>
    <col min="4" max="4" width="7.33203125" customWidth="1"/>
    <col min="5" max="5" width="7.5546875" customWidth="1"/>
    <col min="6" max="6" width="6.33203125" customWidth="1"/>
    <col min="7" max="7" width="12.44140625" customWidth="1"/>
    <col min="8" max="8" width="8.5546875" customWidth="1"/>
  </cols>
  <sheetData>
    <row r="1" spans="1:8" ht="23.4" x14ac:dyDescent="0.45">
      <c r="A1" s="124" t="s">
        <v>169</v>
      </c>
      <c r="B1" s="622"/>
      <c r="C1" s="332"/>
      <c r="D1" s="145"/>
      <c r="E1" s="145"/>
      <c r="F1" s="145"/>
      <c r="G1" s="145"/>
    </row>
    <row r="2" spans="1:8" ht="21" x14ac:dyDescent="0.4">
      <c r="A2" s="343" t="s">
        <v>424</v>
      </c>
      <c r="B2" s="332"/>
      <c r="C2" s="332"/>
      <c r="D2" s="332"/>
      <c r="E2" s="332"/>
      <c r="F2" s="332"/>
      <c r="G2" s="330"/>
    </row>
    <row r="3" spans="1:8" ht="22.8" x14ac:dyDescent="0.4">
      <c r="A3" s="73" t="s">
        <v>3</v>
      </c>
      <c r="B3" s="154"/>
      <c r="C3" s="155">
        <v>200</v>
      </c>
      <c r="D3" s="489" t="s">
        <v>4</v>
      </c>
      <c r="E3" s="332"/>
      <c r="F3" s="332"/>
      <c r="G3" s="330"/>
      <c r="H3" s="127"/>
    </row>
    <row r="4" spans="1:8" ht="21" x14ac:dyDescent="0.4">
      <c r="A4" s="11" t="s">
        <v>6</v>
      </c>
      <c r="B4" s="154"/>
      <c r="C4" s="155">
        <v>100</v>
      </c>
      <c r="D4" s="489" t="s">
        <v>4</v>
      </c>
      <c r="E4" s="332"/>
      <c r="F4" s="332"/>
      <c r="G4" s="330"/>
    </row>
    <row r="5" spans="1:8" ht="21" x14ac:dyDescent="0.4">
      <c r="A5" s="11"/>
      <c r="B5" s="154" t="s">
        <v>425</v>
      </c>
      <c r="C5" s="155">
        <v>50</v>
      </c>
      <c r="D5" s="489" t="s">
        <v>4</v>
      </c>
      <c r="E5" s="332"/>
      <c r="F5" s="332"/>
      <c r="G5" s="330"/>
    </row>
    <row r="6" spans="1:8" ht="21" x14ac:dyDescent="0.4">
      <c r="A6" s="347" t="s">
        <v>7</v>
      </c>
      <c r="B6" s="330"/>
      <c r="C6" s="155">
        <v>1</v>
      </c>
      <c r="D6" s="489" t="s">
        <v>416</v>
      </c>
      <c r="E6" s="332"/>
      <c r="F6" s="332"/>
      <c r="G6" s="330"/>
    </row>
    <row r="7" spans="1:8" ht="21" x14ac:dyDescent="0.4">
      <c r="A7" s="345" t="s">
        <v>72</v>
      </c>
      <c r="B7" s="330"/>
      <c r="C7" s="489" t="s">
        <v>417</v>
      </c>
      <c r="D7" s="332"/>
      <c r="E7" s="332"/>
      <c r="F7" s="332"/>
      <c r="G7" s="330"/>
    </row>
    <row r="8" spans="1:8" ht="21" x14ac:dyDescent="0.4">
      <c r="A8" s="345" t="s">
        <v>9</v>
      </c>
      <c r="B8" s="330"/>
      <c r="C8" s="345" t="s">
        <v>148</v>
      </c>
      <c r="D8" s="332"/>
      <c r="E8" s="332"/>
      <c r="F8" s="332"/>
      <c r="G8" s="330"/>
    </row>
    <row r="9" spans="1:8" ht="15" customHeight="1" x14ac:dyDescent="0.3">
      <c r="A9" s="350" t="s">
        <v>10</v>
      </c>
      <c r="B9" s="336"/>
      <c r="C9" s="353" t="s">
        <v>11</v>
      </c>
      <c r="D9" s="616" t="s">
        <v>171</v>
      </c>
      <c r="E9" s="336"/>
      <c r="F9" s="363" t="s">
        <v>13</v>
      </c>
      <c r="G9" s="617" t="s">
        <v>14</v>
      </c>
    </row>
    <row r="10" spans="1:8" ht="14.4" x14ac:dyDescent="0.3">
      <c r="A10" s="337"/>
      <c r="B10" s="339"/>
      <c r="C10" s="342"/>
      <c r="D10" s="337"/>
      <c r="E10" s="339"/>
      <c r="F10" s="342"/>
      <c r="G10" s="342"/>
    </row>
    <row r="11" spans="1:8" ht="14.4" x14ac:dyDescent="0.3">
      <c r="A11" s="349" t="s">
        <v>19</v>
      </c>
      <c r="B11" s="638" t="s">
        <v>426</v>
      </c>
      <c r="C11" s="363" t="s">
        <v>427</v>
      </c>
      <c r="D11" s="698">
        <f>C5-0.2</f>
        <v>49.8</v>
      </c>
      <c r="E11" s="336"/>
      <c r="F11" s="612">
        <f>C6*1</f>
        <v>1</v>
      </c>
      <c r="G11" s="363">
        <v>45</v>
      </c>
    </row>
    <row r="12" spans="1:8" ht="14.4" x14ac:dyDescent="0.3">
      <c r="A12" s="354"/>
      <c r="B12" s="337"/>
      <c r="C12" s="342"/>
      <c r="D12" s="338"/>
      <c r="E12" s="339"/>
      <c r="F12" s="342"/>
      <c r="G12" s="354"/>
    </row>
    <row r="13" spans="1:8" ht="14.4" x14ac:dyDescent="0.3">
      <c r="A13" s="354"/>
      <c r="B13" s="638" t="s">
        <v>428</v>
      </c>
      <c r="C13" s="363" t="s">
        <v>427</v>
      </c>
      <c r="D13" s="698">
        <f>C3</f>
        <v>200</v>
      </c>
      <c r="E13" s="336"/>
      <c r="F13" s="612">
        <f>C6*2</f>
        <v>2</v>
      </c>
      <c r="G13" s="354"/>
    </row>
    <row r="14" spans="1:8" ht="14.4" x14ac:dyDescent="0.3">
      <c r="A14" s="342"/>
      <c r="B14" s="337"/>
      <c r="C14" s="342"/>
      <c r="D14" s="338"/>
      <c r="E14" s="339"/>
      <c r="F14" s="342"/>
      <c r="G14" s="354"/>
    </row>
    <row r="15" spans="1:8" ht="15" customHeight="1" x14ac:dyDescent="0.25">
      <c r="A15" s="349" t="s">
        <v>205</v>
      </c>
      <c r="B15" s="156" t="s">
        <v>420</v>
      </c>
      <c r="C15" s="220">
        <v>1867</v>
      </c>
      <c r="D15" s="346">
        <f>C5-7.8</f>
        <v>42.2</v>
      </c>
      <c r="E15" s="330"/>
      <c r="F15" s="13">
        <f>C6*2</f>
        <v>2</v>
      </c>
      <c r="G15" s="354"/>
    </row>
    <row r="16" spans="1:8" ht="14.4" x14ac:dyDescent="0.3">
      <c r="A16" s="354"/>
      <c r="B16" s="156" t="s">
        <v>421</v>
      </c>
      <c r="C16" s="221">
        <v>1867</v>
      </c>
      <c r="D16" s="346">
        <f>C3-4.2</f>
        <v>195.8</v>
      </c>
      <c r="E16" s="330"/>
      <c r="F16" s="13">
        <f>C6*2</f>
        <v>2</v>
      </c>
      <c r="G16" s="354"/>
    </row>
    <row r="17" spans="1:7" ht="14.4" x14ac:dyDescent="0.3">
      <c r="A17" s="354"/>
      <c r="B17" s="638"/>
      <c r="C17" s="335"/>
      <c r="D17" s="335"/>
      <c r="E17" s="335"/>
      <c r="F17" s="336"/>
      <c r="G17" s="354"/>
    </row>
    <row r="18" spans="1:7" ht="14.4" x14ac:dyDescent="0.3">
      <c r="A18" s="354"/>
      <c r="B18" s="624"/>
      <c r="C18" s="327"/>
      <c r="D18" s="327"/>
      <c r="E18" s="327"/>
      <c r="F18" s="361"/>
      <c r="G18" s="354"/>
    </row>
    <row r="19" spans="1:7" ht="14.4" x14ac:dyDescent="0.3">
      <c r="A19" s="354"/>
      <c r="B19" s="624"/>
      <c r="C19" s="327"/>
      <c r="D19" s="327"/>
      <c r="E19" s="327"/>
      <c r="F19" s="361"/>
      <c r="G19" s="354"/>
    </row>
    <row r="20" spans="1:7" ht="14.4" x14ac:dyDescent="0.3">
      <c r="A20" s="342"/>
      <c r="B20" s="337"/>
      <c r="C20" s="338"/>
      <c r="D20" s="338"/>
      <c r="E20" s="338"/>
      <c r="F20" s="339"/>
      <c r="G20" s="342"/>
    </row>
    <row r="21" spans="1:7" ht="15.75" customHeight="1" x14ac:dyDescent="0.25">
      <c r="A21" s="349" t="s">
        <v>429</v>
      </c>
      <c r="B21" s="61" t="s">
        <v>182</v>
      </c>
      <c r="C21" s="612">
        <v>1881</v>
      </c>
      <c r="D21" s="346">
        <f>C4-22.8</f>
        <v>77.2</v>
      </c>
      <c r="E21" s="330"/>
      <c r="F21" s="13">
        <f>C6*2</f>
        <v>2</v>
      </c>
      <c r="G21" s="363">
        <v>90</v>
      </c>
    </row>
    <row r="22" spans="1:7" ht="15.75" customHeight="1" x14ac:dyDescent="0.25">
      <c r="A22" s="354"/>
      <c r="B22" s="61" t="s">
        <v>422</v>
      </c>
      <c r="C22" s="354"/>
      <c r="D22" s="346">
        <f>C3-23.4</f>
        <v>176.6</v>
      </c>
      <c r="E22" s="330"/>
      <c r="F22" s="13">
        <v>2</v>
      </c>
      <c r="G22" s="354"/>
    </row>
    <row r="23" spans="1:7" ht="15.75" customHeight="1" x14ac:dyDescent="0.25">
      <c r="A23" s="354"/>
      <c r="B23" s="61"/>
      <c r="C23" s="354"/>
      <c r="D23" s="346"/>
      <c r="E23" s="330"/>
      <c r="F23" s="13"/>
      <c r="G23" s="342"/>
    </row>
    <row r="24" spans="1:7" ht="15.75" customHeight="1" x14ac:dyDescent="0.3">
      <c r="A24" s="374" t="s">
        <v>430</v>
      </c>
      <c r="B24" s="612" t="s">
        <v>182</v>
      </c>
      <c r="C24" s="612" t="s">
        <v>427</v>
      </c>
      <c r="D24" s="699">
        <f>(C4-C5)-0.2</f>
        <v>49.8</v>
      </c>
      <c r="E24" s="336"/>
      <c r="F24" s="612">
        <f>C6*1</f>
        <v>1</v>
      </c>
      <c r="G24" s="363">
        <v>45</v>
      </c>
    </row>
    <row r="25" spans="1:7" ht="15.75" customHeight="1" x14ac:dyDescent="0.3">
      <c r="A25" s="354"/>
      <c r="B25" s="354"/>
      <c r="C25" s="354"/>
      <c r="D25" s="624"/>
      <c r="E25" s="361"/>
      <c r="F25" s="354"/>
      <c r="G25" s="354"/>
    </row>
    <row r="26" spans="1:7" ht="15.75" customHeight="1" x14ac:dyDescent="0.3">
      <c r="A26" s="354"/>
      <c r="B26" s="342"/>
      <c r="C26" s="354"/>
      <c r="D26" s="337"/>
      <c r="E26" s="339"/>
      <c r="F26" s="342"/>
      <c r="G26" s="354"/>
    </row>
    <row r="27" spans="1:7" ht="15.75" customHeight="1" x14ac:dyDescent="0.3">
      <c r="A27" s="354"/>
      <c r="B27" s="612" t="s">
        <v>422</v>
      </c>
      <c r="C27" s="354"/>
      <c r="D27" s="699">
        <f>C3</f>
        <v>200</v>
      </c>
      <c r="E27" s="336"/>
      <c r="F27" s="612">
        <f>C6*2</f>
        <v>2</v>
      </c>
      <c r="G27" s="354"/>
    </row>
    <row r="28" spans="1:7" ht="15.75" customHeight="1" x14ac:dyDescent="0.3">
      <c r="A28" s="342"/>
      <c r="B28" s="342"/>
      <c r="C28" s="342"/>
      <c r="D28" s="337"/>
      <c r="E28" s="339"/>
      <c r="F28" s="342"/>
      <c r="G28" s="342"/>
    </row>
    <row r="29" spans="1:7" ht="15.75" customHeight="1" x14ac:dyDescent="0.3">
      <c r="A29" s="374" t="s">
        <v>431</v>
      </c>
      <c r="B29" s="612" t="s">
        <v>182</v>
      </c>
      <c r="C29" s="612">
        <v>1881</v>
      </c>
      <c r="D29" s="694">
        <f>(C4-C5)-8.9</f>
        <v>41.1</v>
      </c>
      <c r="E29" s="336"/>
      <c r="F29" s="612">
        <f>C6*2</f>
        <v>2</v>
      </c>
      <c r="G29" s="612">
        <v>90</v>
      </c>
    </row>
    <row r="30" spans="1:7" ht="15.75" customHeight="1" x14ac:dyDescent="0.3">
      <c r="A30" s="354"/>
      <c r="B30" s="342"/>
      <c r="C30" s="354"/>
      <c r="D30" s="337"/>
      <c r="E30" s="339"/>
      <c r="F30" s="342"/>
      <c r="G30" s="354"/>
    </row>
    <row r="31" spans="1:7" ht="15.75" customHeight="1" x14ac:dyDescent="0.3">
      <c r="A31" s="354"/>
      <c r="B31" s="612" t="s">
        <v>422</v>
      </c>
      <c r="C31" s="354"/>
      <c r="D31" s="694">
        <f>C3-12.7</f>
        <v>187.3</v>
      </c>
      <c r="E31" s="336"/>
      <c r="F31" s="612">
        <f>C6*2</f>
        <v>2</v>
      </c>
      <c r="G31" s="354"/>
    </row>
    <row r="32" spans="1:7" ht="15.75" customHeight="1" x14ac:dyDescent="0.3">
      <c r="A32" s="342"/>
      <c r="B32" s="342"/>
      <c r="C32" s="342"/>
      <c r="D32" s="337"/>
      <c r="E32" s="339"/>
      <c r="F32" s="342"/>
      <c r="G32" s="342"/>
    </row>
    <row r="33" spans="1:7" ht="15.75" customHeight="1" x14ac:dyDescent="0.3">
      <c r="A33" s="140" t="s">
        <v>432</v>
      </c>
      <c r="B33" s="13"/>
      <c r="C33" s="13">
        <v>1872</v>
      </c>
      <c r="D33" s="346">
        <f>C3</f>
        <v>200</v>
      </c>
      <c r="E33" s="330"/>
      <c r="F33" s="13"/>
      <c r="G33" s="13">
        <v>90</v>
      </c>
    </row>
    <row r="34" spans="1:7" ht="15.75" customHeight="1" x14ac:dyDescent="0.3">
      <c r="A34" s="140"/>
      <c r="B34" s="13"/>
      <c r="C34" s="13"/>
      <c r="D34" s="333"/>
      <c r="E34" s="330"/>
      <c r="F34" s="13"/>
      <c r="G34" s="13"/>
    </row>
    <row r="35" spans="1:7" ht="15.75" customHeight="1" x14ac:dyDescent="0.3">
      <c r="A35" s="141" t="s">
        <v>423</v>
      </c>
      <c r="B35" s="611"/>
      <c r="C35" s="332"/>
      <c r="D35" s="332"/>
      <c r="E35" s="332"/>
      <c r="F35" s="332"/>
      <c r="G35" s="330"/>
    </row>
    <row r="36" spans="1:7" ht="15.75" customHeight="1" x14ac:dyDescent="0.3">
      <c r="A36" s="141" t="s">
        <v>57</v>
      </c>
      <c r="B36" s="611"/>
      <c r="C36" s="332"/>
      <c r="D36" s="332"/>
      <c r="E36" s="332"/>
      <c r="F36" s="332"/>
      <c r="G36" s="330"/>
    </row>
    <row r="37" spans="1:7" ht="15.75" customHeight="1" x14ac:dyDescent="0.3">
      <c r="A37" s="334" t="s">
        <v>58</v>
      </c>
      <c r="B37" s="335"/>
      <c r="C37" s="335"/>
      <c r="D37" s="335"/>
      <c r="E37" s="336"/>
      <c r="F37" s="331"/>
      <c r="G37" s="330"/>
    </row>
    <row r="38" spans="1:7" ht="15.75" customHeight="1" x14ac:dyDescent="0.3">
      <c r="A38" s="337"/>
      <c r="B38" s="338"/>
      <c r="C38" s="338"/>
      <c r="D38" s="338"/>
      <c r="E38" s="339"/>
      <c r="F38" s="331" t="s">
        <v>59</v>
      </c>
      <c r="G38" s="330"/>
    </row>
    <row r="39" spans="1:7" ht="15.75" customHeight="1" x14ac:dyDescent="0.3">
      <c r="A39" s="31"/>
      <c r="B39" s="32"/>
      <c r="C39" s="484"/>
      <c r="D39" s="327"/>
      <c r="E39" s="142"/>
      <c r="F39" s="142"/>
      <c r="G39" s="142"/>
    </row>
    <row r="40" spans="1:7" ht="15.75" customHeight="1" x14ac:dyDescent="0.3">
      <c r="A40" s="31"/>
      <c r="B40" s="32"/>
      <c r="C40" s="2"/>
      <c r="D40" s="142"/>
      <c r="E40" s="142"/>
      <c r="F40" s="142"/>
      <c r="G40" s="142"/>
    </row>
    <row r="41" spans="1:7" ht="15.75" customHeight="1" x14ac:dyDescent="0.3">
      <c r="A41" s="31"/>
      <c r="B41" s="32"/>
      <c r="C41" s="142"/>
      <c r="D41" s="142"/>
      <c r="E41" s="609"/>
      <c r="F41" s="142"/>
      <c r="G41" s="142"/>
    </row>
    <row r="42" spans="1:7" ht="15.75" customHeight="1" x14ac:dyDescent="0.3">
      <c r="A42" s="31"/>
      <c r="B42" s="32"/>
      <c r="C42" s="142"/>
      <c r="D42" s="142"/>
      <c r="E42" s="327"/>
      <c r="F42" s="142"/>
      <c r="G42" s="142"/>
    </row>
    <row r="43" spans="1:7" ht="15.75" customHeight="1" x14ac:dyDescent="0.3">
      <c r="A43" s="31"/>
      <c r="B43" s="32"/>
      <c r="C43" s="142"/>
      <c r="D43" s="142"/>
      <c r="E43" s="327"/>
      <c r="F43" s="142"/>
      <c r="G43" s="142"/>
    </row>
    <row r="44" spans="1:7" ht="15.75" customHeight="1" x14ac:dyDescent="0.3">
      <c r="A44" s="31"/>
      <c r="B44" s="32"/>
      <c r="C44" s="142"/>
      <c r="D44" s="142"/>
      <c r="E44" s="327"/>
      <c r="F44" s="142"/>
      <c r="G44" s="142"/>
    </row>
    <row r="45" spans="1:7" ht="15.75" customHeight="1" x14ac:dyDescent="0.35">
      <c r="A45" s="31"/>
      <c r="B45" s="32"/>
      <c r="C45" s="161"/>
      <c r="D45" s="142"/>
      <c r="E45" s="327"/>
      <c r="F45" s="142"/>
      <c r="G45" s="142"/>
    </row>
    <row r="46" spans="1:7" ht="15.75" customHeight="1" x14ac:dyDescent="0.3">
      <c r="A46" s="31"/>
      <c r="B46" s="32"/>
      <c r="C46" s="142"/>
      <c r="D46" s="142"/>
      <c r="E46" s="327"/>
      <c r="F46" s="142"/>
      <c r="G46" s="142"/>
    </row>
    <row r="47" spans="1:7" ht="15.75" customHeight="1" x14ac:dyDescent="0.3">
      <c r="A47" s="31"/>
      <c r="B47" s="32"/>
      <c r="C47" s="142"/>
      <c r="D47" s="142"/>
      <c r="E47" s="327"/>
      <c r="F47" s="142"/>
      <c r="G47" s="142"/>
    </row>
    <row r="48" spans="1:7" ht="15.75" customHeight="1" x14ac:dyDescent="0.3">
      <c r="A48" s="31"/>
      <c r="B48" s="32"/>
      <c r="C48" s="142"/>
      <c r="D48" s="142"/>
      <c r="E48" s="142"/>
      <c r="F48" s="142"/>
      <c r="G48" s="142"/>
    </row>
    <row r="49" spans="1:7" ht="15.75" customHeight="1" x14ac:dyDescent="0.3">
      <c r="A49" s="31"/>
      <c r="B49" s="32"/>
      <c r="C49" s="484"/>
      <c r="D49" s="327"/>
      <c r="E49" s="142"/>
      <c r="F49" s="142"/>
      <c r="G49" s="142"/>
    </row>
    <row r="50" spans="1:7" ht="15.75" customHeight="1" x14ac:dyDescent="0.3">
      <c r="A50" s="31"/>
      <c r="B50" s="32"/>
      <c r="C50" s="142"/>
      <c r="D50" s="142"/>
      <c r="E50" s="142"/>
      <c r="F50" s="142"/>
      <c r="G50" s="142"/>
    </row>
    <row r="51" spans="1:7" ht="15.75" customHeight="1" x14ac:dyDescent="0.3">
      <c r="A51" s="31"/>
      <c r="B51" s="32"/>
      <c r="C51" s="143"/>
      <c r="D51" s="142"/>
      <c r="E51" s="142"/>
      <c r="F51" s="142"/>
      <c r="G51" s="142"/>
    </row>
    <row r="52" spans="1:7" ht="15.75" customHeight="1" x14ac:dyDescent="0.3">
      <c r="A52" s="31"/>
      <c r="B52" s="32"/>
      <c r="C52" s="142"/>
      <c r="D52" s="142"/>
      <c r="E52" s="142"/>
      <c r="F52" s="142"/>
      <c r="G52" s="142"/>
    </row>
    <row r="53" spans="1:7" ht="15.75" customHeight="1" x14ac:dyDescent="0.4">
      <c r="B53" s="35"/>
    </row>
    <row r="54" spans="1:7" ht="15.75" customHeight="1" x14ac:dyDescent="0.3"/>
    <row r="55" spans="1:7" ht="15.75" customHeight="1" x14ac:dyDescent="0.3"/>
    <row r="56" spans="1:7" ht="15.75" customHeight="1" x14ac:dyDescent="0.3"/>
    <row r="57" spans="1:7" ht="15.75" customHeight="1" x14ac:dyDescent="0.3"/>
    <row r="58" spans="1:7" ht="15.75" customHeight="1" x14ac:dyDescent="0.3"/>
    <row r="59" spans="1:7" ht="15.75" customHeight="1" x14ac:dyDescent="0.3"/>
    <row r="60" spans="1:7" ht="15.75" customHeight="1" x14ac:dyDescent="0.3"/>
    <row r="61" spans="1:7" ht="15.75" customHeight="1" x14ac:dyDescent="0.3"/>
    <row r="62" spans="1:7" ht="15.75" customHeight="1" x14ac:dyDescent="0.3"/>
    <row r="63" spans="1:7" ht="15.75" customHeight="1" x14ac:dyDescent="0.3"/>
    <row r="64" spans="1: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</sheetData>
  <mergeCells count="64">
    <mergeCell ref="F11:F12"/>
    <mergeCell ref="D22:E22"/>
    <mergeCell ref="G11:G20"/>
    <mergeCell ref="C7:G7"/>
    <mergeCell ref="C8:G8"/>
    <mergeCell ref="G9:G10"/>
    <mergeCell ref="F9:F10"/>
    <mergeCell ref="D9:E10"/>
    <mergeCell ref="C9:C10"/>
    <mergeCell ref="C11:C12"/>
    <mergeCell ref="D11:E12"/>
    <mergeCell ref="C29:C32"/>
    <mergeCell ref="B29:B30"/>
    <mergeCell ref="B13:B14"/>
    <mergeCell ref="F13:F14"/>
    <mergeCell ref="D15:E15"/>
    <mergeCell ref="C49:D49"/>
    <mergeCell ref="E41:E47"/>
    <mergeCell ref="C39:D39"/>
    <mergeCell ref="B35:G35"/>
    <mergeCell ref="B36:G36"/>
    <mergeCell ref="F38:G38"/>
    <mergeCell ref="F37:G37"/>
    <mergeCell ref="A37:E38"/>
    <mergeCell ref="D33:E33"/>
    <mergeCell ref="D34:E34"/>
    <mergeCell ref="D23:E23"/>
    <mergeCell ref="A9:B10"/>
    <mergeCell ref="A21:A23"/>
    <mergeCell ref="A29:A32"/>
    <mergeCell ref="A24:A28"/>
    <mergeCell ref="A15:A20"/>
    <mergeCell ref="A11:A14"/>
    <mergeCell ref="B11:B12"/>
    <mergeCell ref="D24:E26"/>
    <mergeCell ref="D27:E28"/>
    <mergeCell ref="D31:E32"/>
    <mergeCell ref="C21:C23"/>
    <mergeCell ref="C24:C28"/>
    <mergeCell ref="B24:B26"/>
    <mergeCell ref="G29:G32"/>
    <mergeCell ref="F29:F30"/>
    <mergeCell ref="F31:F32"/>
    <mergeCell ref="B31:B32"/>
    <mergeCell ref="A8:B8"/>
    <mergeCell ref="G21:G23"/>
    <mergeCell ref="B27:B28"/>
    <mergeCell ref="G24:G28"/>
    <mergeCell ref="F24:F26"/>
    <mergeCell ref="F27:F28"/>
    <mergeCell ref="D29:E30"/>
    <mergeCell ref="B17:F20"/>
    <mergeCell ref="D16:E16"/>
    <mergeCell ref="D13:E14"/>
    <mergeCell ref="C13:C14"/>
    <mergeCell ref="D21:E21"/>
    <mergeCell ref="A7:B7"/>
    <mergeCell ref="A6:B6"/>
    <mergeCell ref="A2:G2"/>
    <mergeCell ref="B1:C1"/>
    <mergeCell ref="D3:G3"/>
    <mergeCell ref="D4:G4"/>
    <mergeCell ref="D5:G5"/>
    <mergeCell ref="D6:G6"/>
  </mergeCells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0"/>
  <sheetViews>
    <sheetView workbookViewId="0"/>
  </sheetViews>
  <sheetFormatPr baseColWidth="10" defaultColWidth="14.44140625" defaultRowHeight="15" customHeight="1" x14ac:dyDescent="0.3"/>
  <cols>
    <col min="1" max="1" width="8.5546875" customWidth="1"/>
    <col min="2" max="2" width="17.109375" customWidth="1"/>
    <col min="3" max="3" width="14" customWidth="1"/>
    <col min="4" max="4" width="14.5546875" customWidth="1"/>
    <col min="5" max="8" width="8.5546875" customWidth="1"/>
    <col min="9" max="9" width="15.109375" customWidth="1"/>
  </cols>
  <sheetData>
    <row r="1" spans="1:9" ht="14.4" x14ac:dyDescent="0.3">
      <c r="A1" s="700" t="s">
        <v>433</v>
      </c>
      <c r="B1" s="510"/>
      <c r="C1" s="510"/>
      <c r="D1" s="701"/>
      <c r="E1" s="2"/>
      <c r="F1" s="700" t="s">
        <v>434</v>
      </c>
      <c r="G1" s="510"/>
      <c r="H1" s="510"/>
      <c r="I1" s="701"/>
    </row>
    <row r="2" spans="1:9" ht="14.4" x14ac:dyDescent="0.3">
      <c r="A2" s="222" t="s">
        <v>435</v>
      </c>
      <c r="B2" s="21" t="s">
        <v>436</v>
      </c>
      <c r="C2" s="21" t="s">
        <v>437</v>
      </c>
      <c r="D2" s="223" t="s">
        <v>438</v>
      </c>
      <c r="F2" s="222" t="s">
        <v>435</v>
      </c>
      <c r="G2" s="21" t="s">
        <v>10</v>
      </c>
      <c r="H2" s="21" t="s">
        <v>439</v>
      </c>
      <c r="I2" s="223" t="s">
        <v>438</v>
      </c>
    </row>
    <row r="3" spans="1:9" ht="14.4" x14ac:dyDescent="0.3">
      <c r="A3" s="222" t="s">
        <v>440</v>
      </c>
      <c r="B3" s="21" t="s">
        <v>20</v>
      </c>
      <c r="C3" s="224">
        <f t="shared" ref="C3:C9" si="0">D3*20%</f>
        <v>6320</v>
      </c>
      <c r="D3" s="225">
        <v>31600</v>
      </c>
      <c r="F3" s="222"/>
      <c r="G3" s="21" t="s">
        <v>20</v>
      </c>
      <c r="H3" s="21">
        <f t="shared" ref="H3:H9" si="1">I3*20%</f>
        <v>6320</v>
      </c>
      <c r="I3" s="226">
        <v>31600</v>
      </c>
    </row>
    <row r="4" spans="1:9" ht="14.4" x14ac:dyDescent="0.3">
      <c r="A4" s="222" t="s">
        <v>441</v>
      </c>
      <c r="B4" s="21" t="s">
        <v>23</v>
      </c>
      <c r="C4" s="224">
        <f t="shared" si="0"/>
        <v>6860</v>
      </c>
      <c r="D4" s="225">
        <v>34300</v>
      </c>
      <c r="F4" s="222"/>
      <c r="G4" s="21" t="s">
        <v>442</v>
      </c>
      <c r="H4" s="21">
        <f t="shared" si="1"/>
        <v>6860</v>
      </c>
      <c r="I4" s="226">
        <v>34300</v>
      </c>
    </row>
    <row r="5" spans="1:9" ht="14.4" x14ac:dyDescent="0.3">
      <c r="A5" s="222" t="s">
        <v>443</v>
      </c>
      <c r="B5" s="21" t="s">
        <v>26</v>
      </c>
      <c r="C5" s="224">
        <f t="shared" si="0"/>
        <v>6260</v>
      </c>
      <c r="D5" s="225">
        <v>31300</v>
      </c>
      <c r="F5" s="222"/>
      <c r="G5" s="21" t="s">
        <v>26</v>
      </c>
      <c r="H5" s="21">
        <f t="shared" si="1"/>
        <v>6960</v>
      </c>
      <c r="I5" s="227">
        <v>34800</v>
      </c>
    </row>
    <row r="6" spans="1:9" ht="14.4" x14ac:dyDescent="0.3">
      <c r="A6" s="222" t="s">
        <v>444</v>
      </c>
      <c r="B6" s="21" t="s">
        <v>30</v>
      </c>
      <c r="C6" s="224">
        <f t="shared" si="0"/>
        <v>5460</v>
      </c>
      <c r="D6" s="225">
        <v>27300</v>
      </c>
      <c r="F6" s="222"/>
      <c r="G6" s="21" t="s">
        <v>30</v>
      </c>
      <c r="H6" s="21">
        <f t="shared" si="1"/>
        <v>6400</v>
      </c>
      <c r="I6" s="227">
        <v>32000</v>
      </c>
    </row>
    <row r="7" spans="1:9" ht="14.4" x14ac:dyDescent="0.3">
      <c r="A7" s="222" t="s">
        <v>445</v>
      </c>
      <c r="B7" s="21" t="s">
        <v>33</v>
      </c>
      <c r="C7" s="224">
        <f t="shared" si="0"/>
        <v>4060</v>
      </c>
      <c r="D7" s="225">
        <v>20300</v>
      </c>
      <c r="F7" s="222"/>
      <c r="G7" s="21" t="s">
        <v>33</v>
      </c>
      <c r="H7" s="21">
        <f t="shared" si="1"/>
        <v>7700</v>
      </c>
      <c r="I7" s="227">
        <v>38500</v>
      </c>
    </row>
    <row r="8" spans="1:9" ht="14.4" x14ac:dyDescent="0.3">
      <c r="A8" s="222" t="s">
        <v>446</v>
      </c>
      <c r="B8" s="21" t="s">
        <v>182</v>
      </c>
      <c r="C8" s="224">
        <f t="shared" si="0"/>
        <v>6360</v>
      </c>
      <c r="D8" s="225">
        <v>31800</v>
      </c>
      <c r="F8" s="222"/>
      <c r="G8" s="21" t="s">
        <v>36</v>
      </c>
      <c r="H8" s="21">
        <f t="shared" si="1"/>
        <v>6360</v>
      </c>
      <c r="I8" s="226">
        <v>31800</v>
      </c>
    </row>
    <row r="9" spans="1:9" ht="14.4" x14ac:dyDescent="0.3">
      <c r="A9" s="222" t="s">
        <v>447</v>
      </c>
      <c r="B9" s="21" t="s">
        <v>448</v>
      </c>
      <c r="C9" s="224">
        <f t="shared" si="0"/>
        <v>10860</v>
      </c>
      <c r="D9" s="225">
        <v>54300</v>
      </c>
      <c r="F9" s="228"/>
      <c r="G9" s="229" t="s">
        <v>176</v>
      </c>
      <c r="H9" s="21">
        <f t="shared" si="1"/>
        <v>3380</v>
      </c>
      <c r="I9" s="230">
        <v>16900</v>
      </c>
    </row>
    <row r="10" spans="1:9" ht="14.4" x14ac:dyDescent="0.3">
      <c r="A10" s="228"/>
      <c r="B10" s="229" t="s">
        <v>449</v>
      </c>
      <c r="C10" s="231"/>
      <c r="D10" s="232"/>
    </row>
    <row r="12" spans="1:9" ht="14.4" x14ac:dyDescent="0.3">
      <c r="A12" s="700" t="s">
        <v>450</v>
      </c>
      <c r="B12" s="510"/>
      <c r="C12" s="510"/>
      <c r="D12" s="701"/>
      <c r="E12" s="2"/>
      <c r="F12" s="233"/>
      <c r="G12" s="234" t="s">
        <v>451</v>
      </c>
      <c r="H12" s="234"/>
      <c r="I12" s="235"/>
    </row>
    <row r="13" spans="1:9" ht="14.4" x14ac:dyDescent="0.3">
      <c r="A13" s="222" t="s">
        <v>16</v>
      </c>
      <c r="B13" s="21" t="s">
        <v>61</v>
      </c>
      <c r="C13" s="21" t="s">
        <v>452</v>
      </c>
      <c r="D13" s="223" t="s">
        <v>438</v>
      </c>
      <c r="F13" s="222"/>
      <c r="G13" s="21" t="s">
        <v>453</v>
      </c>
      <c r="H13" s="21"/>
      <c r="I13" s="223"/>
    </row>
    <row r="14" spans="1:9" ht="14.4" x14ac:dyDescent="0.3">
      <c r="A14" s="222" t="s">
        <v>454</v>
      </c>
      <c r="B14" s="21" t="s">
        <v>20</v>
      </c>
      <c r="C14" s="224">
        <f t="shared" ref="C14:C21" si="2">D14*20%</f>
        <v>6940</v>
      </c>
      <c r="D14" s="225">
        <v>34700</v>
      </c>
      <c r="F14" s="222"/>
      <c r="G14" s="21" t="s">
        <v>23</v>
      </c>
      <c r="H14" s="21"/>
      <c r="I14" s="223"/>
    </row>
    <row r="15" spans="1:9" ht="14.4" x14ac:dyDescent="0.3">
      <c r="A15" s="222" t="s">
        <v>455</v>
      </c>
      <c r="B15" s="21" t="s">
        <v>23</v>
      </c>
      <c r="C15" s="224">
        <f t="shared" si="2"/>
        <v>8220</v>
      </c>
      <c r="D15" s="225">
        <v>41100</v>
      </c>
      <c r="F15" s="222"/>
      <c r="G15" s="21" t="s">
        <v>26</v>
      </c>
      <c r="H15" s="21"/>
      <c r="I15" s="223"/>
    </row>
    <row r="16" spans="1:9" ht="14.4" x14ac:dyDescent="0.3">
      <c r="A16" s="222" t="s">
        <v>456</v>
      </c>
      <c r="B16" s="21" t="s">
        <v>26</v>
      </c>
      <c r="C16" s="224">
        <f t="shared" si="2"/>
        <v>6680</v>
      </c>
      <c r="D16" s="225">
        <v>33400</v>
      </c>
      <c r="F16" s="222"/>
      <c r="G16" s="21" t="s">
        <v>30</v>
      </c>
      <c r="H16" s="21"/>
      <c r="I16" s="223"/>
    </row>
    <row r="17" spans="1:9" ht="14.4" x14ac:dyDescent="0.3">
      <c r="A17" s="222" t="s">
        <v>457</v>
      </c>
      <c r="B17" s="21" t="s">
        <v>30</v>
      </c>
      <c r="C17" s="224">
        <f t="shared" si="2"/>
        <v>7640</v>
      </c>
      <c r="D17" s="225">
        <v>38200</v>
      </c>
      <c r="F17" s="222"/>
      <c r="G17" s="21" t="s">
        <v>33</v>
      </c>
      <c r="H17" s="21"/>
      <c r="I17" s="223"/>
    </row>
    <row r="18" spans="1:9" ht="14.4" x14ac:dyDescent="0.3">
      <c r="A18" s="222" t="s">
        <v>458</v>
      </c>
      <c r="B18" s="21" t="s">
        <v>33</v>
      </c>
      <c r="C18" s="224">
        <f t="shared" si="2"/>
        <v>7220</v>
      </c>
      <c r="D18" s="225">
        <v>36100</v>
      </c>
      <c r="F18" s="222"/>
      <c r="G18" s="21" t="s">
        <v>182</v>
      </c>
      <c r="H18" s="21"/>
      <c r="I18" s="223"/>
    </row>
    <row r="19" spans="1:9" ht="14.4" x14ac:dyDescent="0.3">
      <c r="A19" s="222" t="s">
        <v>459</v>
      </c>
      <c r="B19" s="21" t="s">
        <v>460</v>
      </c>
      <c r="C19" s="224">
        <f t="shared" si="2"/>
        <v>5400</v>
      </c>
      <c r="D19" s="225">
        <v>27000</v>
      </c>
      <c r="F19" s="228"/>
      <c r="G19" s="229" t="s">
        <v>176</v>
      </c>
      <c r="H19" s="229"/>
      <c r="I19" s="232"/>
    </row>
    <row r="20" spans="1:9" ht="14.4" x14ac:dyDescent="0.3">
      <c r="A20" s="222" t="s">
        <v>461</v>
      </c>
      <c r="B20" s="21" t="s">
        <v>462</v>
      </c>
      <c r="C20" s="224">
        <f t="shared" si="2"/>
        <v>7100</v>
      </c>
      <c r="D20" s="225">
        <v>35500</v>
      </c>
    </row>
    <row r="21" spans="1:9" ht="15.75" customHeight="1" x14ac:dyDescent="0.3">
      <c r="A21" s="228" t="s">
        <v>463</v>
      </c>
      <c r="B21" s="229" t="s">
        <v>176</v>
      </c>
      <c r="C21" s="224">
        <f t="shared" si="2"/>
        <v>3840</v>
      </c>
      <c r="D21" s="236">
        <v>19200</v>
      </c>
    </row>
    <row r="22" spans="1:9" ht="15.75" customHeight="1" x14ac:dyDescent="0.3"/>
    <row r="23" spans="1:9" ht="15.75" customHeight="1" x14ac:dyDescent="0.3"/>
    <row r="24" spans="1:9" ht="15.75" customHeight="1" x14ac:dyDescent="0.3">
      <c r="A24" s="700" t="s">
        <v>464</v>
      </c>
      <c r="B24" s="510"/>
      <c r="C24" s="510"/>
      <c r="D24" s="701"/>
      <c r="F24" s="700" t="s">
        <v>465</v>
      </c>
      <c r="G24" s="510"/>
      <c r="H24" s="510"/>
      <c r="I24" s="701"/>
    </row>
    <row r="25" spans="1:9" ht="15.75" customHeight="1" x14ac:dyDescent="0.3">
      <c r="A25" s="222" t="s">
        <v>435</v>
      </c>
      <c r="B25" s="21" t="s">
        <v>10</v>
      </c>
      <c r="C25" s="21" t="s">
        <v>452</v>
      </c>
      <c r="D25" s="223" t="s">
        <v>438</v>
      </c>
      <c r="F25" s="222"/>
      <c r="G25" s="21" t="s">
        <v>466</v>
      </c>
      <c r="H25" s="21">
        <f>I25*20%</f>
        <v>5340</v>
      </c>
      <c r="I25" s="237">
        <v>26700</v>
      </c>
    </row>
    <row r="26" spans="1:9" ht="15.75" customHeight="1" x14ac:dyDescent="0.3">
      <c r="A26" s="222"/>
      <c r="B26" s="21" t="s">
        <v>20</v>
      </c>
      <c r="C26" s="21">
        <f t="shared" ref="C26:C30" si="3">(D26*20%)</f>
        <v>9540</v>
      </c>
      <c r="D26" s="237">
        <v>47700</v>
      </c>
      <c r="F26" s="222"/>
      <c r="G26" s="21" t="s">
        <v>26</v>
      </c>
      <c r="H26" s="21"/>
      <c r="I26" s="237"/>
    </row>
    <row r="27" spans="1:9" ht="15.75" customHeight="1" x14ac:dyDescent="0.3">
      <c r="A27" s="222"/>
      <c r="B27" s="21" t="s">
        <v>467</v>
      </c>
      <c r="C27" s="21">
        <f t="shared" si="3"/>
        <v>4780</v>
      </c>
      <c r="D27" s="237">
        <v>23900</v>
      </c>
      <c r="F27" s="222"/>
      <c r="G27" s="21" t="s">
        <v>468</v>
      </c>
      <c r="H27" s="21">
        <f t="shared" ref="H27:H29" si="4">I27*20%</f>
        <v>3440</v>
      </c>
      <c r="I27" s="237">
        <v>17200</v>
      </c>
    </row>
    <row r="28" spans="1:9" ht="15.75" customHeight="1" x14ac:dyDescent="0.3">
      <c r="A28" s="222"/>
      <c r="B28" s="21" t="s">
        <v>469</v>
      </c>
      <c r="C28" s="21">
        <f t="shared" si="3"/>
        <v>3680</v>
      </c>
      <c r="D28" s="237">
        <v>18400</v>
      </c>
      <c r="F28" s="222"/>
      <c r="G28" s="21" t="s">
        <v>470</v>
      </c>
      <c r="H28" s="21">
        <f t="shared" si="4"/>
        <v>9880</v>
      </c>
      <c r="I28" s="237">
        <v>49400</v>
      </c>
    </row>
    <row r="29" spans="1:9" ht="15.75" customHeight="1" x14ac:dyDescent="0.3">
      <c r="A29" s="222"/>
      <c r="B29" s="21" t="s">
        <v>471</v>
      </c>
      <c r="C29" s="21">
        <f t="shared" si="3"/>
        <v>3780</v>
      </c>
      <c r="D29" s="237">
        <v>18900</v>
      </c>
      <c r="F29" s="222"/>
      <c r="G29" s="21" t="s">
        <v>472</v>
      </c>
      <c r="H29" s="21">
        <f t="shared" si="4"/>
        <v>4580</v>
      </c>
      <c r="I29" s="238">
        <v>22900</v>
      </c>
    </row>
    <row r="30" spans="1:9" ht="15.75" customHeight="1" x14ac:dyDescent="0.3">
      <c r="A30" s="222"/>
      <c r="B30" s="21" t="s">
        <v>473</v>
      </c>
      <c r="C30" s="21">
        <f t="shared" si="3"/>
        <v>2360</v>
      </c>
      <c r="D30" s="237">
        <v>11800</v>
      </c>
      <c r="F30" s="222"/>
      <c r="G30" s="21" t="s">
        <v>210</v>
      </c>
      <c r="H30" s="21">
        <f t="shared" ref="H30:H32" si="5">I30</f>
        <v>150</v>
      </c>
      <c r="I30" s="237">
        <v>150</v>
      </c>
    </row>
    <row r="31" spans="1:9" ht="15.75" customHeight="1" x14ac:dyDescent="0.3">
      <c r="A31" s="222"/>
      <c r="B31" s="21" t="s">
        <v>474</v>
      </c>
      <c r="C31" s="21">
        <f>D31</f>
        <v>1000</v>
      </c>
      <c r="D31" s="223">
        <v>1000</v>
      </c>
      <c r="F31" s="222"/>
      <c r="G31" s="21" t="s">
        <v>475</v>
      </c>
      <c r="H31" s="21">
        <f t="shared" si="5"/>
        <v>550</v>
      </c>
      <c r="I31" s="237">
        <v>550</v>
      </c>
    </row>
    <row r="32" spans="1:9" ht="15.75" customHeight="1" x14ac:dyDescent="0.3">
      <c r="A32" s="222"/>
      <c r="B32" s="21" t="s">
        <v>241</v>
      </c>
      <c r="C32" s="21">
        <v>1000</v>
      </c>
      <c r="D32" s="223">
        <v>1000</v>
      </c>
      <c r="F32" s="228"/>
      <c r="G32" s="229" t="s">
        <v>476</v>
      </c>
      <c r="H32" s="229">
        <f t="shared" si="5"/>
        <v>500</v>
      </c>
      <c r="I32" s="239">
        <v>500</v>
      </c>
    </row>
    <row r="33" spans="1:9" ht="15.75" customHeight="1" x14ac:dyDescent="0.3">
      <c r="A33" s="222"/>
      <c r="B33" s="21" t="s">
        <v>477</v>
      </c>
      <c r="C33" s="21"/>
      <c r="D33" s="223"/>
    </row>
    <row r="34" spans="1:9" ht="15.75" customHeight="1" x14ac:dyDescent="0.3">
      <c r="A34" s="222"/>
      <c r="B34" s="21" t="s">
        <v>478</v>
      </c>
      <c r="C34" s="21">
        <v>1100</v>
      </c>
      <c r="D34" s="223">
        <v>1100</v>
      </c>
    </row>
    <row r="35" spans="1:9" ht="15.75" customHeight="1" x14ac:dyDescent="0.3">
      <c r="A35" s="228"/>
      <c r="B35" s="229" t="s">
        <v>80</v>
      </c>
      <c r="C35" s="229">
        <v>1000</v>
      </c>
      <c r="D35" s="232">
        <v>1000</v>
      </c>
      <c r="F35" s="700" t="s">
        <v>479</v>
      </c>
      <c r="G35" s="510"/>
      <c r="H35" s="510"/>
      <c r="I35" s="701"/>
    </row>
    <row r="36" spans="1:9" ht="15.75" customHeight="1" x14ac:dyDescent="0.3">
      <c r="F36" s="222"/>
      <c r="G36" s="21" t="s">
        <v>480</v>
      </c>
      <c r="H36" s="21"/>
      <c r="I36" s="237"/>
    </row>
    <row r="37" spans="1:9" ht="15.75" customHeight="1" x14ac:dyDescent="0.3">
      <c r="A37" s="700" t="s">
        <v>481</v>
      </c>
      <c r="B37" s="510"/>
      <c r="C37" s="510"/>
      <c r="D37" s="701"/>
      <c r="F37" s="222"/>
      <c r="G37" s="21" t="s">
        <v>482</v>
      </c>
      <c r="H37" s="21">
        <f t="shared" ref="H37:H56" si="6">I37*20%</f>
        <v>4260</v>
      </c>
      <c r="I37" s="237">
        <v>21300</v>
      </c>
    </row>
    <row r="38" spans="1:9" ht="15.75" customHeight="1" x14ac:dyDescent="0.3">
      <c r="A38" s="222"/>
      <c r="B38" s="21"/>
      <c r="C38" s="21"/>
      <c r="D38" s="223"/>
      <c r="F38" s="222"/>
      <c r="G38" s="21" t="s">
        <v>483</v>
      </c>
      <c r="H38" s="21">
        <f t="shared" si="6"/>
        <v>6220</v>
      </c>
      <c r="I38" s="237">
        <v>31100</v>
      </c>
    </row>
    <row r="39" spans="1:9" ht="15.75" customHeight="1" x14ac:dyDescent="0.3">
      <c r="A39" s="222"/>
      <c r="B39" s="21" t="s">
        <v>484</v>
      </c>
      <c r="C39" s="21">
        <f t="shared" ref="C39:C55" si="7">D39*20%</f>
        <v>6420</v>
      </c>
      <c r="D39" s="237">
        <v>32100</v>
      </c>
      <c r="F39" s="222"/>
      <c r="G39" s="21" t="s">
        <v>485</v>
      </c>
      <c r="H39" s="21">
        <f t="shared" si="6"/>
        <v>1360</v>
      </c>
      <c r="I39" s="237">
        <v>6800</v>
      </c>
    </row>
    <row r="40" spans="1:9" ht="15.75" customHeight="1" x14ac:dyDescent="0.3">
      <c r="A40" s="222"/>
      <c r="B40" s="21" t="s">
        <v>486</v>
      </c>
      <c r="C40" s="21">
        <f t="shared" si="7"/>
        <v>7360</v>
      </c>
      <c r="D40" s="237">
        <v>36800</v>
      </c>
      <c r="F40" s="222"/>
      <c r="G40" s="21" t="s">
        <v>487</v>
      </c>
      <c r="H40" s="21">
        <f t="shared" si="6"/>
        <v>1820</v>
      </c>
      <c r="I40" s="237">
        <v>9100</v>
      </c>
    </row>
    <row r="41" spans="1:9" ht="15.75" customHeight="1" x14ac:dyDescent="0.3">
      <c r="A41" s="222"/>
      <c r="B41" s="21" t="s">
        <v>488</v>
      </c>
      <c r="C41" s="21">
        <f t="shared" si="7"/>
        <v>4400</v>
      </c>
      <c r="D41" s="237">
        <v>22000</v>
      </c>
      <c r="F41" s="222"/>
      <c r="G41" s="21" t="s">
        <v>489</v>
      </c>
      <c r="H41" s="21">
        <f t="shared" si="6"/>
        <v>5340</v>
      </c>
      <c r="I41" s="237">
        <v>26700</v>
      </c>
    </row>
    <row r="42" spans="1:9" ht="15.75" customHeight="1" x14ac:dyDescent="0.3">
      <c r="A42" s="222"/>
      <c r="B42" s="21" t="s">
        <v>490</v>
      </c>
      <c r="C42" s="21">
        <f t="shared" si="7"/>
        <v>11200</v>
      </c>
      <c r="D42" s="237">
        <v>56000</v>
      </c>
      <c r="F42" s="222"/>
      <c r="G42" s="21" t="s">
        <v>491</v>
      </c>
      <c r="H42" s="21">
        <f t="shared" si="6"/>
        <v>7760</v>
      </c>
      <c r="I42" s="237">
        <v>38800</v>
      </c>
    </row>
    <row r="43" spans="1:9" ht="15.75" customHeight="1" x14ac:dyDescent="0.3">
      <c r="A43" s="222"/>
      <c r="B43" s="21" t="s">
        <v>492</v>
      </c>
      <c r="C43" s="21">
        <f t="shared" si="7"/>
        <v>8060</v>
      </c>
      <c r="D43" s="237">
        <v>40300</v>
      </c>
      <c r="F43" s="222"/>
      <c r="G43" s="21" t="s">
        <v>493</v>
      </c>
      <c r="H43" s="21">
        <f t="shared" si="6"/>
        <v>0</v>
      </c>
      <c r="I43" s="237"/>
    </row>
    <row r="44" spans="1:9" ht="15.75" customHeight="1" x14ac:dyDescent="0.3">
      <c r="A44" s="222"/>
      <c r="B44" s="21" t="s">
        <v>494</v>
      </c>
      <c r="C44" s="21">
        <f t="shared" si="7"/>
        <v>8560</v>
      </c>
      <c r="D44" s="238">
        <v>42800</v>
      </c>
      <c r="F44" s="222"/>
      <c r="G44" s="21" t="s">
        <v>495</v>
      </c>
      <c r="H44" s="21">
        <f t="shared" si="6"/>
        <v>0</v>
      </c>
      <c r="I44" s="240"/>
    </row>
    <row r="45" spans="1:9" ht="15.75" customHeight="1" x14ac:dyDescent="0.3">
      <c r="A45" s="222"/>
      <c r="B45" s="241" t="s">
        <v>496</v>
      </c>
      <c r="C45" s="21">
        <f t="shared" si="7"/>
        <v>10920</v>
      </c>
      <c r="D45" s="237">
        <v>54600</v>
      </c>
      <c r="F45" s="222"/>
      <c r="G45" s="21" t="s">
        <v>497</v>
      </c>
      <c r="H45" s="21">
        <f t="shared" si="6"/>
        <v>0</v>
      </c>
      <c r="I45" s="223"/>
    </row>
    <row r="46" spans="1:9" ht="15.75" customHeight="1" x14ac:dyDescent="0.3">
      <c r="A46" s="222"/>
      <c r="B46" s="21" t="s">
        <v>498</v>
      </c>
      <c r="C46" s="21">
        <f t="shared" si="7"/>
        <v>10060</v>
      </c>
      <c r="D46" s="237">
        <v>50300</v>
      </c>
      <c r="F46" s="222"/>
      <c r="G46" s="21" t="s">
        <v>499</v>
      </c>
      <c r="H46" s="21">
        <f t="shared" si="6"/>
        <v>0</v>
      </c>
      <c r="I46" s="223"/>
    </row>
    <row r="47" spans="1:9" ht="15.75" customHeight="1" x14ac:dyDescent="0.3">
      <c r="A47" s="222"/>
      <c r="B47" s="21" t="s">
        <v>500</v>
      </c>
      <c r="C47" s="21">
        <f t="shared" si="7"/>
        <v>9360</v>
      </c>
      <c r="D47" s="237">
        <v>46800</v>
      </c>
      <c r="F47" s="222"/>
      <c r="G47" s="21" t="s">
        <v>501</v>
      </c>
      <c r="H47" s="21">
        <f t="shared" si="6"/>
        <v>0</v>
      </c>
      <c r="I47" s="223"/>
    </row>
    <row r="48" spans="1:9" ht="15.75" customHeight="1" x14ac:dyDescent="0.3">
      <c r="A48" s="222"/>
      <c r="B48" s="21" t="s">
        <v>502</v>
      </c>
      <c r="C48" s="21">
        <f t="shared" si="7"/>
        <v>17000</v>
      </c>
      <c r="D48" s="237">
        <v>85000</v>
      </c>
      <c r="F48" s="222"/>
      <c r="G48" s="21" t="s">
        <v>503</v>
      </c>
      <c r="H48" s="21">
        <f t="shared" si="6"/>
        <v>0</v>
      </c>
      <c r="I48" s="223"/>
    </row>
    <row r="49" spans="1:9" ht="15.75" customHeight="1" x14ac:dyDescent="0.3">
      <c r="A49" s="222"/>
      <c r="B49" s="21" t="s">
        <v>504</v>
      </c>
      <c r="C49" s="21">
        <f t="shared" si="7"/>
        <v>6440</v>
      </c>
      <c r="D49" s="237">
        <v>32200</v>
      </c>
      <c r="F49" s="242"/>
      <c r="G49" s="243" t="s">
        <v>505</v>
      </c>
      <c r="H49" s="21">
        <f t="shared" si="6"/>
        <v>0</v>
      </c>
      <c r="I49" s="244"/>
    </row>
    <row r="50" spans="1:9" ht="15.75" customHeight="1" x14ac:dyDescent="0.3">
      <c r="A50" s="222"/>
      <c r="B50" s="245" t="s">
        <v>506</v>
      </c>
      <c r="C50" s="21">
        <f t="shared" si="7"/>
        <v>3620</v>
      </c>
      <c r="D50" s="237">
        <v>18100</v>
      </c>
      <c r="F50" s="233"/>
      <c r="G50" s="234" t="s">
        <v>507</v>
      </c>
      <c r="H50" s="21">
        <f t="shared" si="6"/>
        <v>6080</v>
      </c>
      <c r="I50" s="237">
        <v>30400</v>
      </c>
    </row>
    <row r="51" spans="1:9" ht="15.75" customHeight="1" x14ac:dyDescent="0.3">
      <c r="A51" s="222"/>
      <c r="B51" s="21" t="s">
        <v>508</v>
      </c>
      <c r="C51" s="21">
        <f t="shared" si="7"/>
        <v>0</v>
      </c>
      <c r="D51" s="223"/>
      <c r="F51" s="222"/>
      <c r="G51" s="21" t="s">
        <v>509</v>
      </c>
      <c r="H51" s="21">
        <f t="shared" si="6"/>
        <v>8480</v>
      </c>
      <c r="I51" s="237">
        <v>42400</v>
      </c>
    </row>
    <row r="52" spans="1:9" ht="15.75" customHeight="1" x14ac:dyDescent="0.3">
      <c r="A52" s="222"/>
      <c r="B52" s="21" t="s">
        <v>510</v>
      </c>
      <c r="C52" s="21">
        <f t="shared" si="7"/>
        <v>4100</v>
      </c>
      <c r="D52" s="237">
        <v>20500</v>
      </c>
      <c r="F52" s="222"/>
      <c r="G52" s="21" t="s">
        <v>511</v>
      </c>
      <c r="H52" s="21">
        <f t="shared" si="6"/>
        <v>0</v>
      </c>
      <c r="I52" s="237"/>
    </row>
    <row r="53" spans="1:9" ht="15.75" customHeight="1" x14ac:dyDescent="0.3">
      <c r="A53" s="222"/>
      <c r="B53" s="21" t="s">
        <v>512</v>
      </c>
      <c r="C53" s="21">
        <f t="shared" si="7"/>
        <v>5180</v>
      </c>
      <c r="D53" s="237">
        <v>25900</v>
      </c>
      <c r="F53" s="222"/>
      <c r="G53" s="21" t="s">
        <v>513</v>
      </c>
      <c r="H53" s="21">
        <f t="shared" si="6"/>
        <v>8160</v>
      </c>
      <c r="I53" s="237">
        <v>40800</v>
      </c>
    </row>
    <row r="54" spans="1:9" ht="15.75" customHeight="1" x14ac:dyDescent="0.3">
      <c r="A54" s="242"/>
      <c r="B54" s="243" t="s">
        <v>514</v>
      </c>
      <c r="C54" s="21">
        <f t="shared" si="7"/>
        <v>15100</v>
      </c>
      <c r="D54" s="240">
        <v>75500</v>
      </c>
      <c r="F54" s="222"/>
      <c r="G54" s="21" t="s">
        <v>515</v>
      </c>
      <c r="H54" s="21">
        <f t="shared" si="6"/>
        <v>2640</v>
      </c>
      <c r="I54" s="237">
        <v>13200</v>
      </c>
    </row>
    <row r="55" spans="1:9" ht="15.75" customHeight="1" x14ac:dyDescent="0.3">
      <c r="A55" s="228"/>
      <c r="B55" s="229" t="s">
        <v>516</v>
      </c>
      <c r="C55" s="21">
        <f t="shared" si="7"/>
        <v>13380</v>
      </c>
      <c r="D55" s="239">
        <v>66900</v>
      </c>
      <c r="F55" s="222"/>
      <c r="G55" s="21" t="s">
        <v>312</v>
      </c>
      <c r="H55" s="21">
        <f t="shared" si="6"/>
        <v>5220</v>
      </c>
      <c r="I55" s="237">
        <v>26100</v>
      </c>
    </row>
    <row r="56" spans="1:9" ht="15.75" customHeight="1" x14ac:dyDescent="0.3">
      <c r="F56" s="228"/>
      <c r="G56" s="229" t="s">
        <v>517</v>
      </c>
      <c r="H56" s="21">
        <f t="shared" si="6"/>
        <v>9980</v>
      </c>
      <c r="I56" s="240">
        <v>49900</v>
      </c>
    </row>
    <row r="57" spans="1:9" ht="15.75" customHeight="1" x14ac:dyDescent="0.3"/>
    <row r="58" spans="1:9" ht="15.75" customHeight="1" x14ac:dyDescent="0.3"/>
    <row r="59" spans="1:9" ht="15.75" customHeight="1" x14ac:dyDescent="0.3">
      <c r="F59" s="700" t="s">
        <v>518</v>
      </c>
      <c r="G59" s="510"/>
      <c r="H59" s="510"/>
      <c r="I59" s="701"/>
    </row>
    <row r="60" spans="1:9" ht="15.75" customHeight="1" x14ac:dyDescent="0.3">
      <c r="F60" s="222" t="s">
        <v>16</v>
      </c>
      <c r="G60" s="21" t="s">
        <v>61</v>
      </c>
      <c r="H60" s="21" t="s">
        <v>452</v>
      </c>
      <c r="I60" s="223" t="s">
        <v>438</v>
      </c>
    </row>
    <row r="61" spans="1:9" ht="15.75" customHeight="1" x14ac:dyDescent="0.3">
      <c r="F61" s="222"/>
      <c r="G61" s="21" t="s">
        <v>20</v>
      </c>
      <c r="H61" s="224">
        <f t="shared" ref="H61:H68" si="8">I61*20%</f>
        <v>6940</v>
      </c>
      <c r="I61" s="225">
        <v>34700</v>
      </c>
    </row>
    <row r="62" spans="1:9" ht="15.75" customHeight="1" x14ac:dyDescent="0.3">
      <c r="F62" s="222"/>
      <c r="G62" s="21" t="s">
        <v>23</v>
      </c>
      <c r="H62" s="224">
        <f t="shared" si="8"/>
        <v>8220</v>
      </c>
      <c r="I62" s="225">
        <v>41100</v>
      </c>
    </row>
    <row r="63" spans="1:9" ht="15.75" customHeight="1" x14ac:dyDescent="0.3">
      <c r="F63" s="222"/>
      <c r="G63" s="21" t="s">
        <v>26</v>
      </c>
      <c r="H63" s="224">
        <f t="shared" si="8"/>
        <v>6680</v>
      </c>
      <c r="I63" s="225">
        <v>33400</v>
      </c>
    </row>
    <row r="64" spans="1:9" ht="15.75" customHeight="1" x14ac:dyDescent="0.3">
      <c r="A64" s="700" t="s">
        <v>519</v>
      </c>
      <c r="B64" s="510"/>
      <c r="C64" s="510"/>
      <c r="D64" s="701"/>
      <c r="F64" s="222"/>
      <c r="G64" s="21" t="s">
        <v>30</v>
      </c>
      <c r="H64" s="224">
        <f t="shared" si="8"/>
        <v>7840</v>
      </c>
      <c r="I64" s="225">
        <v>39200</v>
      </c>
    </row>
    <row r="65" spans="1:9" ht="15.75" customHeight="1" x14ac:dyDescent="0.3">
      <c r="A65" s="222" t="s">
        <v>16</v>
      </c>
      <c r="B65" s="21" t="s">
        <v>61</v>
      </c>
      <c r="C65" s="21" t="s">
        <v>452</v>
      </c>
      <c r="D65" s="223" t="s">
        <v>438</v>
      </c>
      <c r="F65" s="222"/>
      <c r="G65" s="21" t="s">
        <v>33</v>
      </c>
      <c r="H65" s="224">
        <f t="shared" si="8"/>
        <v>7220</v>
      </c>
      <c r="I65" s="225">
        <v>36100</v>
      </c>
    </row>
    <row r="66" spans="1:9" ht="15.75" customHeight="1" x14ac:dyDescent="0.3">
      <c r="A66" s="222"/>
      <c r="B66" s="21" t="s">
        <v>20</v>
      </c>
      <c r="C66" s="224">
        <f t="shared" ref="C66:C73" si="9">D66*20%</f>
        <v>10340</v>
      </c>
      <c r="D66" s="225">
        <v>51700</v>
      </c>
      <c r="F66" s="222"/>
      <c r="G66" s="21" t="s">
        <v>460</v>
      </c>
      <c r="H66" s="224">
        <f t="shared" si="8"/>
        <v>5400</v>
      </c>
      <c r="I66" s="225">
        <v>27000</v>
      </c>
    </row>
    <row r="67" spans="1:9" ht="15.75" customHeight="1" x14ac:dyDescent="0.3">
      <c r="A67" s="222"/>
      <c r="B67" s="21" t="s">
        <v>23</v>
      </c>
      <c r="C67" s="224">
        <f t="shared" si="9"/>
        <v>10080</v>
      </c>
      <c r="D67" s="225">
        <v>50400</v>
      </c>
      <c r="F67" s="222"/>
      <c r="G67" s="21" t="s">
        <v>462</v>
      </c>
      <c r="H67" s="224">
        <f t="shared" si="8"/>
        <v>7100</v>
      </c>
      <c r="I67" s="225">
        <v>35500</v>
      </c>
    </row>
    <row r="68" spans="1:9" ht="15.75" customHeight="1" x14ac:dyDescent="0.3">
      <c r="A68" s="222"/>
      <c r="B68" s="21" t="s">
        <v>26</v>
      </c>
      <c r="C68" s="224">
        <f t="shared" si="9"/>
        <v>9940</v>
      </c>
      <c r="D68" s="225">
        <v>49700</v>
      </c>
      <c r="F68" s="228"/>
      <c r="G68" s="229" t="s">
        <v>176</v>
      </c>
      <c r="H68" s="224">
        <f t="shared" si="8"/>
        <v>4340</v>
      </c>
      <c r="I68" s="225">
        <v>21700</v>
      </c>
    </row>
    <row r="69" spans="1:9" ht="15.75" customHeight="1" x14ac:dyDescent="0.3">
      <c r="A69" s="222"/>
      <c r="B69" s="21" t="s">
        <v>30</v>
      </c>
      <c r="C69" s="224">
        <f t="shared" si="9"/>
        <v>10180</v>
      </c>
      <c r="D69" s="225">
        <v>50900</v>
      </c>
    </row>
    <row r="70" spans="1:9" ht="15.75" customHeight="1" x14ac:dyDescent="0.3">
      <c r="A70" s="222"/>
      <c r="B70" s="21" t="s">
        <v>33</v>
      </c>
      <c r="C70" s="224">
        <f t="shared" si="9"/>
        <v>10600</v>
      </c>
      <c r="D70" s="225">
        <v>53000</v>
      </c>
    </row>
    <row r="71" spans="1:9" ht="15.75" customHeight="1" x14ac:dyDescent="0.3">
      <c r="A71" s="222"/>
      <c r="B71" s="21" t="s">
        <v>460</v>
      </c>
      <c r="C71" s="224">
        <f t="shared" si="9"/>
        <v>9220</v>
      </c>
      <c r="D71" s="225">
        <v>46100</v>
      </c>
      <c r="F71" s="703" t="s">
        <v>520</v>
      </c>
      <c r="G71" s="510"/>
      <c r="H71" s="510"/>
      <c r="I71" s="701"/>
    </row>
    <row r="72" spans="1:9" ht="15.75" customHeight="1" x14ac:dyDescent="0.3">
      <c r="A72" s="222"/>
      <c r="B72" s="21" t="s">
        <v>462</v>
      </c>
      <c r="C72" s="224">
        <f t="shared" si="9"/>
        <v>11920</v>
      </c>
      <c r="D72" s="225">
        <v>59600</v>
      </c>
      <c r="F72" s="222" t="s">
        <v>16</v>
      </c>
      <c r="G72" s="21" t="s">
        <v>61</v>
      </c>
      <c r="H72" s="21" t="s">
        <v>452</v>
      </c>
      <c r="I72" s="223" t="s">
        <v>438</v>
      </c>
    </row>
    <row r="73" spans="1:9" ht="15.75" customHeight="1" x14ac:dyDescent="0.3">
      <c r="A73" s="228"/>
      <c r="B73" s="229" t="s">
        <v>176</v>
      </c>
      <c r="C73" s="224">
        <f t="shared" si="9"/>
        <v>4100</v>
      </c>
      <c r="D73" s="225">
        <v>20500</v>
      </c>
      <c r="F73" s="222"/>
      <c r="G73" s="21" t="s">
        <v>20</v>
      </c>
      <c r="H73" s="224">
        <f t="shared" ref="H73:H80" si="10">I73*20%</f>
        <v>10340</v>
      </c>
      <c r="I73" s="225">
        <v>51700</v>
      </c>
    </row>
    <row r="74" spans="1:9" ht="15.75" customHeight="1" x14ac:dyDescent="0.3">
      <c r="F74" s="222"/>
      <c r="G74" s="21" t="s">
        <v>23</v>
      </c>
      <c r="H74" s="224">
        <f t="shared" si="10"/>
        <v>10080</v>
      </c>
      <c r="I74" s="225">
        <v>50400</v>
      </c>
    </row>
    <row r="75" spans="1:9" ht="15.75" customHeight="1" x14ac:dyDescent="0.3">
      <c r="F75" s="222"/>
      <c r="G75" s="21" t="s">
        <v>26</v>
      </c>
      <c r="H75" s="224">
        <f t="shared" si="10"/>
        <v>9940</v>
      </c>
      <c r="I75" s="225">
        <v>49700</v>
      </c>
    </row>
    <row r="76" spans="1:9" ht="15.75" customHeight="1" x14ac:dyDescent="0.3">
      <c r="A76" s="702" t="s">
        <v>521</v>
      </c>
      <c r="B76" s="332"/>
      <c r="C76" s="332"/>
      <c r="D76" s="330"/>
      <c r="F76" s="222"/>
      <c r="G76" s="21" t="s">
        <v>30</v>
      </c>
      <c r="H76" s="224">
        <f t="shared" si="10"/>
        <v>12160</v>
      </c>
      <c r="I76" s="246">
        <v>60800</v>
      </c>
    </row>
    <row r="77" spans="1:9" ht="15.75" customHeight="1" x14ac:dyDescent="0.3">
      <c r="A77" s="21" t="s">
        <v>16</v>
      </c>
      <c r="B77" s="21" t="s">
        <v>61</v>
      </c>
      <c r="C77" s="21" t="s">
        <v>452</v>
      </c>
      <c r="D77" s="21" t="s">
        <v>438</v>
      </c>
      <c r="F77" s="222"/>
      <c r="G77" s="21" t="s">
        <v>33</v>
      </c>
      <c r="H77" s="224">
        <f t="shared" si="10"/>
        <v>10720</v>
      </c>
      <c r="I77" s="236">
        <v>53600</v>
      </c>
    </row>
    <row r="78" spans="1:9" ht="15.75" customHeight="1" x14ac:dyDescent="0.3">
      <c r="A78" s="21"/>
      <c r="B78" s="21" t="s">
        <v>20</v>
      </c>
      <c r="C78" s="224">
        <v>19560</v>
      </c>
      <c r="D78" s="92">
        <v>97800</v>
      </c>
      <c r="F78" s="222"/>
      <c r="G78" s="21" t="s">
        <v>460</v>
      </c>
      <c r="H78" s="224">
        <f t="shared" si="10"/>
        <v>8520</v>
      </c>
      <c r="I78" s="236">
        <v>42600</v>
      </c>
    </row>
    <row r="79" spans="1:9" ht="15.75" customHeight="1" x14ac:dyDescent="0.3">
      <c r="A79" s="21"/>
      <c r="B79" s="21" t="s">
        <v>23</v>
      </c>
      <c r="C79" s="224">
        <v>20400</v>
      </c>
      <c r="D79" s="92">
        <v>102000</v>
      </c>
      <c r="F79" s="222"/>
      <c r="G79" s="21" t="s">
        <v>462</v>
      </c>
      <c r="H79" s="224">
        <f t="shared" si="10"/>
        <v>11960</v>
      </c>
      <c r="I79" s="236">
        <v>59800</v>
      </c>
    </row>
    <row r="80" spans="1:9" ht="15.75" customHeight="1" x14ac:dyDescent="0.3">
      <c r="A80" s="21"/>
      <c r="B80" s="21" t="s">
        <v>26</v>
      </c>
      <c r="C80" s="224">
        <v>17600</v>
      </c>
      <c r="D80" s="92">
        <v>88000</v>
      </c>
      <c r="F80" s="228"/>
      <c r="G80" s="229" t="s">
        <v>176</v>
      </c>
      <c r="H80" s="224">
        <f t="shared" si="10"/>
        <v>5120</v>
      </c>
      <c r="I80" s="247">
        <v>25600</v>
      </c>
    </row>
    <row r="81" spans="1:9" ht="15.75" customHeight="1" x14ac:dyDescent="0.3">
      <c r="A81" s="21"/>
      <c r="B81" s="21" t="s">
        <v>30</v>
      </c>
      <c r="C81" s="224">
        <v>26600</v>
      </c>
      <c r="D81" s="92">
        <v>133000</v>
      </c>
      <c r="I81" t="s">
        <v>522</v>
      </c>
    </row>
    <row r="82" spans="1:9" ht="15.75" customHeight="1" x14ac:dyDescent="0.3">
      <c r="A82" s="21"/>
      <c r="B82" s="21" t="s">
        <v>33</v>
      </c>
      <c r="C82" s="224">
        <v>24000</v>
      </c>
      <c r="D82" s="92">
        <v>118300</v>
      </c>
    </row>
    <row r="83" spans="1:9" ht="15.75" customHeight="1" x14ac:dyDescent="0.3">
      <c r="A83" s="21"/>
      <c r="B83" s="21" t="s">
        <v>460</v>
      </c>
      <c r="C83" s="224">
        <v>22500</v>
      </c>
      <c r="D83" s="92">
        <v>118300</v>
      </c>
    </row>
    <row r="84" spans="1:9" ht="15.75" customHeight="1" x14ac:dyDescent="0.3">
      <c r="A84" s="21"/>
      <c r="B84" s="21" t="s">
        <v>176</v>
      </c>
      <c r="C84" s="224">
        <v>10100</v>
      </c>
      <c r="D84" s="92">
        <v>50500</v>
      </c>
    </row>
    <row r="85" spans="1:9" ht="15.75" customHeight="1" x14ac:dyDescent="0.3">
      <c r="A85" s="21"/>
      <c r="B85" s="21" t="s">
        <v>80</v>
      </c>
      <c r="C85" s="224">
        <v>17200</v>
      </c>
      <c r="D85" s="21"/>
    </row>
    <row r="86" spans="1:9" ht="15.75" customHeight="1" x14ac:dyDescent="0.3">
      <c r="A86" s="21"/>
      <c r="B86" s="21" t="s">
        <v>523</v>
      </c>
      <c r="C86" s="21"/>
      <c r="D86" s="21"/>
    </row>
    <row r="87" spans="1:9" ht="15.75" customHeight="1" x14ac:dyDescent="0.3">
      <c r="A87" s="21"/>
      <c r="B87" s="21" t="s">
        <v>42</v>
      </c>
      <c r="C87" s="21"/>
      <c r="D87" s="21"/>
    </row>
    <row r="88" spans="1:9" ht="15.75" customHeight="1" x14ac:dyDescent="0.3"/>
    <row r="89" spans="1:9" ht="15.75" customHeight="1" x14ac:dyDescent="0.3"/>
    <row r="90" spans="1:9" ht="15.75" customHeight="1" x14ac:dyDescent="0.3"/>
    <row r="91" spans="1:9" ht="15.75" customHeight="1" x14ac:dyDescent="0.3"/>
    <row r="92" spans="1:9" ht="15.75" customHeight="1" x14ac:dyDescent="0.3"/>
    <row r="93" spans="1:9" ht="15.75" customHeight="1" x14ac:dyDescent="0.3"/>
    <row r="94" spans="1:9" ht="15.75" customHeight="1" x14ac:dyDescent="0.3"/>
    <row r="95" spans="1:9" ht="15.75" customHeight="1" x14ac:dyDescent="0.3"/>
    <row r="96" spans="1:9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</sheetData>
  <mergeCells count="11">
    <mergeCell ref="A37:D37"/>
    <mergeCell ref="F35:I35"/>
    <mergeCell ref="A76:D76"/>
    <mergeCell ref="A64:D64"/>
    <mergeCell ref="F71:I71"/>
    <mergeCell ref="F59:I59"/>
    <mergeCell ref="F24:I24"/>
    <mergeCell ref="F1:I1"/>
    <mergeCell ref="A1:D1"/>
    <mergeCell ref="A12:D12"/>
    <mergeCell ref="A24:D24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44</vt:i4>
      </vt:variant>
    </vt:vector>
  </HeadingPairs>
  <TitlesOfParts>
    <vt:vector size="44" baseType="lpstr">
      <vt:lpstr>5020 -2 HOJAS</vt:lpstr>
      <vt:lpstr>5020 - 3 HOJAS</vt:lpstr>
      <vt:lpstr>5020 - 4 HOJAS</vt:lpstr>
      <vt:lpstr>744 - 2 HOJAS</vt:lpstr>
      <vt:lpstr>744 3 HOJAS 1 DE PARCHE</vt:lpstr>
      <vt:lpstr> 744 3 HOJAS  (diseño cliente)</vt:lpstr>
      <vt:lpstr>744 3 HOJAS xOx ( x25%, O50%, x</vt:lpstr>
      <vt:lpstr>744 - 4 HOJAS</vt:lpstr>
      <vt:lpstr>8025 de  2 hojas</vt:lpstr>
      <vt:lpstr>8025 de 3 hojas OXO</vt:lpstr>
      <vt:lpstr> 8025  3 hojas oXo</vt:lpstr>
      <vt:lpstr>8025 4 hojas</vt:lpstr>
      <vt:lpstr> 8025 3 hojas diseño cliente OX</vt:lpstr>
      <vt:lpstr>8025 de 3 hojas  (triple carril</vt:lpstr>
      <vt:lpstr>P.B. TUBLAR DE 1X1.2 -PISA</vt:lpstr>
      <vt:lpstr>P.B DE 2 HOJAS DE 1X1.2 PISA</vt:lpstr>
      <vt:lpstr>P.B TUBULAR 3X1-1.2 PISA</vt:lpstr>
      <vt:lpstr>P.B TUBULAR 3X1-1.2 2 HOJAS</vt:lpstr>
      <vt:lpstr>FIJO PRO-3831</vt:lpstr>
      <vt:lpstr>FIJO PRO 3831  1 BASCULANTE</vt:lpstr>
      <vt:lpstr>FIJO PRO 3831 2 BASCULANTES</vt:lpstr>
      <vt:lpstr>7038  DE 2 HOJAS</vt:lpstr>
      <vt:lpstr>7038 DE 3 HOJAS</vt:lpstr>
      <vt:lpstr>7038-4 HOJAS</vt:lpstr>
      <vt:lpstr>7038 EMPOTRAR DE 2 HOJAS</vt:lpstr>
      <vt:lpstr>7038 DE EMPOTRAR 3 HOJAS 1 PARC</vt:lpstr>
      <vt:lpstr> 7038 EMPOTRAR -4 HOJAS</vt:lpstr>
      <vt:lpstr>DIVICION ACRILICO BAÑO</vt:lpstr>
      <vt:lpstr>PUERTA B. BOTAGUA Y 744</vt:lpstr>
      <vt:lpstr>ALACENA </vt:lpstr>
      <vt:lpstr>COLOSAL 2.6 2 HOJAS</vt:lpstr>
      <vt:lpstr> COLOSAL 2.6 3 HOJAS IGUALES</vt:lpstr>
      <vt:lpstr>COLOSAL 2.6 4 HOJAS </vt:lpstr>
      <vt:lpstr> COLOSAL 3.45 2 HOJAS</vt:lpstr>
      <vt:lpstr>ASTRAL 1.7 DOS HOJAS</vt:lpstr>
      <vt:lpstr>ZINU DISEÑO X</vt:lpstr>
      <vt:lpstr>ZINU DISEÑO O (FIJO)</vt:lpstr>
      <vt:lpstr> ZINU DISEÑO O-X</vt:lpstr>
      <vt:lpstr>ZINU DISEÑO X-O-X</vt:lpstr>
      <vt:lpstr>PUERTA CORREDIZA KALIMA OX</vt:lpstr>
      <vt:lpstr>PUERTA CORREDIZA KIMBAYA OX</vt:lpstr>
      <vt:lpstr>PUERTA BATIENTE KONCEPT SERIE 4</vt:lpstr>
      <vt:lpstr> PUERTA BATIENTE KONCEPT DISEÑO</vt:lpstr>
      <vt:lpstr>REFERENCIAS DE PERFILES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YERAL GIRALDO</dc:creator>
  <cp:lastModifiedBy>Marcel</cp:lastModifiedBy>
  <cp:lastPrinted>2022-12-04T22:56:11Z</cp:lastPrinted>
  <dcterms:created xsi:type="dcterms:W3CDTF">2016-01-04T21:55:11Z</dcterms:created>
  <dcterms:modified xsi:type="dcterms:W3CDTF">2023-05-31T00:41:41Z</dcterms:modified>
</cp:coreProperties>
</file>